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hoangtrang/HOCHOCHOC/AIAM/"/>
    </mc:Choice>
  </mc:AlternateContent>
  <xr:revisionPtr revIDLastSave="0" documentId="8_{58B5DCF7-5E90-D948-8909-32057B2163ED}" xr6:coauthVersionLast="47" xr6:coauthVersionMax="47" xr10:uidLastSave="{00000000-0000-0000-0000-000000000000}"/>
  <bookViews>
    <workbookView xWindow="-20" yWindow="600" windowWidth="28800" windowHeight="15580" xr2:uid="{00000000-000D-0000-FFFF-FFFF00000000}"/>
  </bookViews>
  <sheets>
    <sheet name="Pric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37k9AVYf6S1mgwHtMo625INmw3aG9yszIHtLLAXoeXc="/>
    </ext>
  </extLst>
</workbook>
</file>

<file path=xl/calcChain.xml><?xml version="1.0" encoding="utf-8"?>
<calcChain xmlns="http://schemas.openxmlformats.org/spreadsheetml/2006/main">
  <c r="J37" i="1" l="1"/>
  <c r="K39" i="1"/>
  <c r="M66" i="1"/>
  <c r="L66" i="1"/>
  <c r="K66" i="1"/>
  <c r="J66" i="1"/>
  <c r="M65" i="1"/>
  <c r="L65" i="1"/>
  <c r="K65" i="1"/>
  <c r="J65" i="1"/>
  <c r="M64" i="1"/>
  <c r="L64" i="1"/>
  <c r="K64" i="1"/>
  <c r="J64" i="1"/>
  <c r="M63" i="1"/>
  <c r="L63" i="1"/>
  <c r="K63" i="1"/>
  <c r="J63" i="1"/>
  <c r="M62" i="1"/>
  <c r="L62" i="1"/>
  <c r="K62" i="1"/>
  <c r="J62" i="1"/>
  <c r="M61" i="1"/>
  <c r="L61" i="1"/>
  <c r="K61" i="1"/>
  <c r="J61" i="1"/>
  <c r="M60" i="1"/>
  <c r="L60" i="1"/>
  <c r="K60" i="1"/>
  <c r="J60" i="1"/>
  <c r="M59" i="1"/>
  <c r="L59" i="1"/>
  <c r="K59" i="1"/>
  <c r="J59" i="1"/>
  <c r="M58" i="1"/>
  <c r="L58" i="1"/>
  <c r="K58" i="1"/>
  <c r="J58" i="1"/>
  <c r="M57" i="1"/>
  <c r="L57" i="1"/>
  <c r="K57" i="1"/>
  <c r="J57" i="1"/>
  <c r="M56" i="1"/>
  <c r="L56" i="1"/>
  <c r="K56" i="1"/>
  <c r="J56" i="1"/>
  <c r="M55" i="1"/>
  <c r="L55" i="1"/>
  <c r="K55" i="1"/>
  <c r="J55" i="1"/>
  <c r="M54" i="1"/>
  <c r="L54" i="1"/>
  <c r="K54" i="1"/>
  <c r="J54" i="1"/>
  <c r="M53" i="1"/>
  <c r="L53" i="1"/>
  <c r="K53" i="1"/>
  <c r="J53" i="1"/>
  <c r="M52" i="1"/>
  <c r="L52" i="1"/>
  <c r="K52" i="1"/>
  <c r="J52" i="1"/>
  <c r="M51" i="1"/>
  <c r="L51" i="1"/>
  <c r="K51" i="1"/>
  <c r="J51" i="1"/>
  <c r="M50" i="1"/>
  <c r="L50" i="1"/>
  <c r="K50" i="1"/>
  <c r="J50" i="1"/>
  <c r="M49" i="1"/>
  <c r="L49" i="1"/>
  <c r="K49" i="1"/>
  <c r="J49" i="1"/>
  <c r="M48" i="1"/>
  <c r="L48" i="1"/>
  <c r="K48" i="1"/>
  <c r="J48" i="1"/>
  <c r="M47" i="1"/>
  <c r="L47" i="1"/>
  <c r="K47" i="1"/>
  <c r="J47" i="1"/>
  <c r="M46" i="1"/>
  <c r="L46" i="1"/>
  <c r="K46" i="1"/>
  <c r="J46" i="1"/>
  <c r="M45" i="1"/>
  <c r="L45" i="1"/>
  <c r="K45" i="1"/>
  <c r="J45" i="1"/>
  <c r="M44" i="1"/>
  <c r="L44" i="1"/>
  <c r="K44" i="1"/>
  <c r="J44" i="1"/>
  <c r="M43" i="1"/>
  <c r="L43" i="1"/>
  <c r="K43" i="1"/>
  <c r="J43" i="1"/>
  <c r="M42" i="1"/>
  <c r="L42" i="1"/>
  <c r="K42" i="1"/>
  <c r="J42" i="1"/>
  <c r="M41" i="1"/>
  <c r="L41" i="1"/>
  <c r="K41" i="1"/>
  <c r="J41" i="1"/>
  <c r="M40" i="1"/>
  <c r="L40" i="1"/>
  <c r="K40" i="1"/>
  <c r="J40" i="1"/>
  <c r="M39" i="1"/>
  <c r="L39" i="1"/>
  <c r="J39" i="1"/>
  <c r="M38" i="1"/>
  <c r="L38" i="1"/>
  <c r="K38" i="1"/>
  <c r="J38" i="1"/>
  <c r="K37" i="1"/>
  <c r="L37" i="1"/>
  <c r="M37" i="1"/>
  <c r="M70" i="1" l="1"/>
  <c r="L70" i="1"/>
  <c r="K70" i="1"/>
  <c r="J70" i="1"/>
  <c r="C38" i="1"/>
  <c r="D38" i="1"/>
  <c r="E38" i="1"/>
  <c r="F38" i="1"/>
  <c r="G38" i="1"/>
  <c r="H38" i="1"/>
  <c r="I38" i="1"/>
  <c r="C39" i="1"/>
  <c r="D39" i="1"/>
  <c r="E39" i="1"/>
  <c r="F39" i="1"/>
  <c r="G39" i="1"/>
  <c r="H39" i="1"/>
  <c r="I39" i="1"/>
  <c r="C40" i="1"/>
  <c r="D40" i="1"/>
  <c r="E40" i="1"/>
  <c r="F40" i="1"/>
  <c r="G40" i="1"/>
  <c r="H40" i="1"/>
  <c r="I40" i="1"/>
  <c r="C41" i="1"/>
  <c r="D41" i="1"/>
  <c r="E41" i="1"/>
  <c r="F41" i="1"/>
  <c r="G41" i="1"/>
  <c r="H41" i="1"/>
  <c r="I41" i="1"/>
  <c r="C42" i="1"/>
  <c r="D42" i="1"/>
  <c r="E42" i="1"/>
  <c r="F42" i="1"/>
  <c r="G42" i="1"/>
  <c r="H42" i="1"/>
  <c r="I42" i="1"/>
  <c r="C43" i="1"/>
  <c r="D43" i="1"/>
  <c r="E43" i="1"/>
  <c r="F43" i="1"/>
  <c r="G43" i="1"/>
  <c r="H43" i="1"/>
  <c r="I43" i="1"/>
  <c r="C44" i="1"/>
  <c r="D44" i="1"/>
  <c r="E44" i="1"/>
  <c r="F44" i="1"/>
  <c r="G44" i="1"/>
  <c r="H44" i="1"/>
  <c r="I44" i="1"/>
  <c r="C45" i="1"/>
  <c r="D45" i="1"/>
  <c r="E45" i="1"/>
  <c r="F45" i="1"/>
  <c r="G45" i="1"/>
  <c r="H45" i="1"/>
  <c r="I45" i="1"/>
  <c r="C46" i="1"/>
  <c r="D46" i="1"/>
  <c r="E46" i="1"/>
  <c r="F46" i="1"/>
  <c r="G46" i="1"/>
  <c r="H46" i="1"/>
  <c r="I46" i="1"/>
  <c r="C47" i="1"/>
  <c r="D47" i="1"/>
  <c r="E47" i="1"/>
  <c r="F47" i="1"/>
  <c r="G47" i="1"/>
  <c r="H47" i="1"/>
  <c r="I47" i="1"/>
  <c r="C48" i="1"/>
  <c r="D48" i="1"/>
  <c r="E48" i="1"/>
  <c r="F48" i="1"/>
  <c r="G48" i="1"/>
  <c r="H48" i="1"/>
  <c r="I48" i="1"/>
  <c r="C49" i="1"/>
  <c r="D49" i="1"/>
  <c r="E49" i="1"/>
  <c r="F49" i="1"/>
  <c r="G49" i="1"/>
  <c r="H49" i="1"/>
  <c r="I49" i="1"/>
  <c r="C50" i="1"/>
  <c r="D50" i="1"/>
  <c r="E50" i="1"/>
  <c r="F50" i="1"/>
  <c r="G50" i="1"/>
  <c r="H50" i="1"/>
  <c r="I50" i="1"/>
  <c r="C51" i="1"/>
  <c r="D51" i="1"/>
  <c r="E51" i="1"/>
  <c r="F51" i="1"/>
  <c r="G51" i="1"/>
  <c r="H51" i="1"/>
  <c r="I51" i="1"/>
  <c r="C52" i="1"/>
  <c r="D52" i="1"/>
  <c r="E52" i="1"/>
  <c r="F52" i="1"/>
  <c r="G52" i="1"/>
  <c r="H52" i="1"/>
  <c r="I52" i="1"/>
  <c r="C53" i="1"/>
  <c r="D53" i="1"/>
  <c r="E53" i="1"/>
  <c r="F53" i="1"/>
  <c r="G53" i="1"/>
  <c r="H53" i="1"/>
  <c r="I53" i="1"/>
  <c r="C54" i="1"/>
  <c r="D54" i="1"/>
  <c r="E54" i="1"/>
  <c r="F54" i="1"/>
  <c r="G54" i="1"/>
  <c r="H54" i="1"/>
  <c r="I54" i="1"/>
  <c r="C55" i="1"/>
  <c r="D55" i="1"/>
  <c r="E55" i="1"/>
  <c r="F55" i="1"/>
  <c r="G55" i="1"/>
  <c r="H55" i="1"/>
  <c r="I55" i="1"/>
  <c r="C56" i="1"/>
  <c r="D56" i="1"/>
  <c r="E56" i="1"/>
  <c r="F56" i="1"/>
  <c r="G56" i="1"/>
  <c r="H56" i="1"/>
  <c r="I56" i="1"/>
  <c r="C57" i="1"/>
  <c r="D57" i="1"/>
  <c r="E57" i="1"/>
  <c r="F57" i="1"/>
  <c r="G57" i="1"/>
  <c r="H57" i="1"/>
  <c r="I57" i="1"/>
  <c r="C58" i="1"/>
  <c r="D58" i="1"/>
  <c r="E58" i="1"/>
  <c r="F58" i="1"/>
  <c r="G58" i="1"/>
  <c r="H58" i="1"/>
  <c r="I58" i="1"/>
  <c r="C59" i="1"/>
  <c r="D59" i="1"/>
  <c r="E59" i="1"/>
  <c r="F59" i="1"/>
  <c r="G59" i="1"/>
  <c r="H59" i="1"/>
  <c r="I59" i="1"/>
  <c r="C60" i="1"/>
  <c r="D60" i="1"/>
  <c r="E60" i="1"/>
  <c r="F60" i="1"/>
  <c r="G60" i="1"/>
  <c r="H60" i="1"/>
  <c r="I60" i="1"/>
  <c r="C61" i="1"/>
  <c r="D61" i="1"/>
  <c r="E61" i="1"/>
  <c r="F61" i="1"/>
  <c r="G61" i="1"/>
  <c r="H61" i="1"/>
  <c r="I61" i="1"/>
  <c r="C62" i="1"/>
  <c r="D62" i="1"/>
  <c r="E62" i="1"/>
  <c r="F62" i="1"/>
  <c r="G62" i="1"/>
  <c r="H62" i="1"/>
  <c r="I62" i="1"/>
  <c r="C63" i="1"/>
  <c r="D63" i="1"/>
  <c r="E63" i="1"/>
  <c r="F63" i="1"/>
  <c r="G63" i="1"/>
  <c r="H63" i="1"/>
  <c r="I63" i="1"/>
  <c r="C64" i="1"/>
  <c r="D64" i="1"/>
  <c r="E64" i="1"/>
  <c r="F64" i="1"/>
  <c r="G64" i="1"/>
  <c r="H64" i="1"/>
  <c r="I64" i="1"/>
  <c r="C65" i="1"/>
  <c r="D65" i="1"/>
  <c r="E65" i="1"/>
  <c r="F65" i="1"/>
  <c r="G65" i="1"/>
  <c r="H65" i="1"/>
  <c r="I65" i="1"/>
  <c r="C66" i="1"/>
  <c r="D66" i="1"/>
  <c r="E66" i="1"/>
  <c r="F66" i="1"/>
  <c r="G66" i="1"/>
  <c r="H66" i="1"/>
  <c r="I66" i="1"/>
  <c r="D37" i="1"/>
  <c r="E37" i="1"/>
  <c r="F37" i="1"/>
  <c r="G37" i="1"/>
  <c r="H37" i="1"/>
  <c r="I37" i="1"/>
  <c r="C37" i="1"/>
  <c r="E82" i="1" l="1"/>
  <c r="D81" i="1"/>
  <c r="C80" i="1"/>
  <c r="I86" i="1"/>
  <c r="H85" i="1"/>
  <c r="G84" i="1"/>
  <c r="F83" i="1"/>
  <c r="G75" i="1"/>
  <c r="G74" i="1"/>
  <c r="G70" i="1"/>
  <c r="E75" i="1"/>
  <c r="E74" i="1"/>
  <c r="E70" i="1"/>
  <c r="C70" i="1"/>
  <c r="C75" i="1"/>
  <c r="C74" i="1"/>
  <c r="I75" i="1"/>
  <c r="I74" i="1"/>
  <c r="I70" i="1"/>
  <c r="H75" i="1"/>
  <c r="H74" i="1"/>
  <c r="H70" i="1"/>
  <c r="F70" i="1"/>
  <c r="F75" i="1"/>
  <c r="F74" i="1"/>
  <c r="D70" i="1"/>
  <c r="D75" i="1"/>
  <c r="D74" i="1"/>
</calcChain>
</file>

<file path=xl/sharedStrings.xml><?xml version="1.0" encoding="utf-8"?>
<sst xmlns="http://schemas.openxmlformats.org/spreadsheetml/2006/main" count="101" uniqueCount="43">
  <si>
    <t>FPT</t>
  </si>
  <si>
    <t>HPG</t>
  </si>
  <si>
    <t>SSI</t>
  </si>
  <si>
    <t>VCB</t>
  </si>
  <si>
    <t>MWG</t>
  </si>
  <si>
    <t>VHM</t>
  </si>
  <si>
    <t>VNINDEX</t>
  </si>
  <si>
    <t>Vietnam 1Y Bond Yield (%)</t>
  </si>
  <si>
    <t>Vietnam 2Y Bond Yield (%)</t>
  </si>
  <si>
    <t>Vietnam 3Y Bond Yield (%)</t>
  </si>
  <si>
    <t>Vietnam 10Y Bond Yield (%)</t>
  </si>
  <si>
    <t>31/12/2025</t>
  </si>
  <si>
    <t>26/12/2025</t>
  </si>
  <si>
    <t>19/12/2025</t>
  </si>
  <si>
    <t>28/11/2025</t>
  </si>
  <si>
    <t>21/11/2025</t>
  </si>
  <si>
    <t>14/11/2025</t>
  </si>
  <si>
    <t>31/10/2025</t>
  </si>
  <si>
    <t>24/10/2025</t>
  </si>
  <si>
    <t>17/10/2025</t>
  </si>
  <si>
    <t>26/09/2025</t>
  </si>
  <si>
    <t>19/09/2025</t>
  </si>
  <si>
    <t>29/08/2025</t>
  </si>
  <si>
    <t>22/08/2025</t>
  </si>
  <si>
    <t>15/08/2025</t>
  </si>
  <si>
    <t>25/07/2025</t>
  </si>
  <si>
    <t>18/07/2025</t>
  </si>
  <si>
    <t>27/06/2025</t>
  </si>
  <si>
    <t>20/06/2025</t>
  </si>
  <si>
    <t>13/06/2025</t>
  </si>
  <si>
    <t>E(r)</t>
  </si>
  <si>
    <t>E(r_w)</t>
  </si>
  <si>
    <t>Var, Std</t>
  </si>
  <si>
    <t>Var_w</t>
  </si>
  <si>
    <t>Std_w</t>
  </si>
  <si>
    <t>Correlation Matrix (weekly return)</t>
  </si>
  <si>
    <t>Covariance Matrix (weekly return)</t>
  </si>
  <si>
    <t>Months</t>
  </si>
  <si>
    <t>Date</t>
  </si>
  <si>
    <t>Weekly Return (Price Appreciation/Depreciation)</t>
  </si>
  <si>
    <t>Carry Return (Weekly yield, excluding price fluctuations)</t>
  </si>
  <si>
    <t>No.</t>
  </si>
  <si>
    <t>Rf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</si>
</sst>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_);_(* \(#,##0\);_(* &quot;-&quot;??_);_(@_)"/>
    <numFmt numFmtId="165" formatCode="0.00000E+00"/>
    <numFmt numFmtId="166" formatCode="0.0000%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2" tint="-4.9989318521683403E-2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2"/>
      <name val="Times New Roman"/>
      <family val="1"/>
    </font>
    <font>
      <i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35685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0" fontId="3" fillId="0" borderId="0" xfId="1" applyNumberFormat="1" applyFont="1" applyAlignment="1">
      <alignment vertical="center"/>
    </xf>
    <xf numFmtId="0" fontId="6" fillId="0" borderId="5" xfId="0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166" fontId="3" fillId="0" borderId="0" xfId="1" applyNumberFormat="1" applyFont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0" fontId="4" fillId="3" borderId="2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right" vertical="center"/>
    </xf>
    <xf numFmtId="10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0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2" tint="-4.9989318521683403E-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Fixed_adjustclosingprice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1" displayName="Bảng_1" ref="A1:M32" headerRowDxfId="15" dataDxfId="14" totalsRowDxfId="13">
  <tableColumns count="13">
    <tableColumn id="1" xr3:uid="{00000000-0010-0000-0000-000001000000}" name="No." dataDxfId="12"/>
    <tableColumn id="2" xr3:uid="{00000000-0010-0000-0000-000002000000}" name="Date" dataDxfId="11"/>
    <tableColumn id="3" xr3:uid="{00000000-0010-0000-0000-000003000000}" name="FPT" dataDxfId="10"/>
    <tableColumn id="4" xr3:uid="{00000000-0010-0000-0000-000004000000}" name="HPG" dataDxfId="9"/>
    <tableColumn id="5" xr3:uid="{00000000-0010-0000-0000-000005000000}" name="SSI" dataDxfId="8"/>
    <tableColumn id="6" xr3:uid="{00000000-0010-0000-0000-000006000000}" name="VCB" dataDxfId="7"/>
    <tableColumn id="7" xr3:uid="{00000000-0010-0000-0000-000007000000}" name="MWG" dataDxfId="6"/>
    <tableColumn id="8" xr3:uid="{00000000-0010-0000-0000-000008000000}" name="VHM" dataDxfId="5"/>
    <tableColumn id="9" xr3:uid="{00000000-0010-0000-0000-000009000000}" name="VNINDEX" dataDxfId="4"/>
    <tableColumn id="10" xr3:uid="{00000000-0010-0000-0000-00000A000000}" name="Vietnam 1Y Bond Yield (%)" dataDxfId="3"/>
    <tableColumn id="11" xr3:uid="{00000000-0010-0000-0000-00000B000000}" name="Vietnam 2Y Bond Yield (%)" dataDxfId="2"/>
    <tableColumn id="12" xr3:uid="{00000000-0010-0000-0000-00000C000000}" name="Vietnam 3Y Bond Yield (%)" dataDxfId="1"/>
    <tableColumn id="13" xr3:uid="{00000000-0010-0000-0000-00000D000000}" name="Vietnam 10Y Bond Yield (%)" dataDxfId="0"/>
  </tableColumns>
  <tableStyleInfo name="Fixed_adjustclosingpric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8"/>
  <sheetViews>
    <sheetView showGridLines="0" tabSelected="1" zoomScale="89" workbookViewId="0">
      <pane ySplit="1" topLeftCell="A2" activePane="bottomLeft" state="frozen"/>
      <selection pane="bottomLeft" activeCell="K11" sqref="K11"/>
    </sheetView>
  </sheetViews>
  <sheetFormatPr baseColWidth="10" defaultColWidth="12.6640625" defaultRowHeight="15" customHeight="1" x14ac:dyDescent="0.2"/>
  <cols>
    <col min="1" max="1" width="6" style="2" customWidth="1"/>
    <col min="2" max="2" width="19.1640625" style="2" customWidth="1"/>
    <col min="3" max="3" width="12.33203125" style="6" customWidth="1"/>
    <col min="4" max="4" width="12.6640625" style="6" customWidth="1"/>
    <col min="5" max="5" width="11.6640625" style="6" customWidth="1"/>
    <col min="6" max="6" width="12.83203125" style="6" customWidth="1"/>
    <col min="7" max="7" width="13.83203125" style="6" customWidth="1"/>
    <col min="8" max="8" width="13.33203125" style="6" customWidth="1"/>
    <col min="9" max="9" width="17.83203125" style="6" customWidth="1"/>
    <col min="10" max="12" width="30.83203125" style="6" customWidth="1"/>
    <col min="13" max="13" width="31.83203125" style="6" customWidth="1"/>
    <col min="14" max="26" width="8.6640625" style="6" customWidth="1"/>
    <col min="27" max="16384" width="12.6640625" style="6"/>
  </cols>
  <sheetData>
    <row r="1" spans="1:13" s="2" customFormat="1" ht="22.5" customHeight="1" x14ac:dyDescent="0.2">
      <c r="A1" s="1" t="s">
        <v>41</v>
      </c>
      <c r="B1" s="1" t="s">
        <v>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22.5" customHeight="1" x14ac:dyDescent="0.2">
      <c r="A2" s="3">
        <v>1</v>
      </c>
      <c r="B2" s="3" t="s">
        <v>11</v>
      </c>
      <c r="C2" s="4">
        <v>95800</v>
      </c>
      <c r="D2" s="4">
        <v>26400</v>
      </c>
      <c r="E2" s="4">
        <v>30250</v>
      </c>
      <c r="F2" s="4">
        <v>57500</v>
      </c>
      <c r="G2" s="4">
        <v>88400</v>
      </c>
      <c r="H2" s="4">
        <v>124000</v>
      </c>
      <c r="I2" s="5">
        <v>1784.49</v>
      </c>
      <c r="J2" s="6">
        <v>3.069</v>
      </c>
      <c r="K2" s="6">
        <v>3.121</v>
      </c>
      <c r="L2" s="6">
        <v>3.177</v>
      </c>
      <c r="M2" s="6">
        <v>4.1859999999999999</v>
      </c>
    </row>
    <row r="3" spans="1:13" ht="22.5" customHeight="1" x14ac:dyDescent="0.2">
      <c r="A3" s="3">
        <v>2</v>
      </c>
      <c r="B3" s="3" t="s">
        <v>12</v>
      </c>
      <c r="C3" s="4">
        <v>92500</v>
      </c>
      <c r="D3" s="4">
        <v>26900</v>
      </c>
      <c r="E3" s="4">
        <v>30750</v>
      </c>
      <c r="F3" s="4">
        <v>57100</v>
      </c>
      <c r="G3" s="4">
        <v>87000</v>
      </c>
      <c r="H3" s="4">
        <v>110000</v>
      </c>
      <c r="I3" s="5">
        <v>1729.8</v>
      </c>
      <c r="J3" s="6">
        <v>3.0659999999999998</v>
      </c>
      <c r="K3" s="6">
        <v>3.1179999999999999</v>
      </c>
      <c r="L3" s="6">
        <v>3.1739999999999999</v>
      </c>
      <c r="M3" s="6">
        <v>4.1790000000000003</v>
      </c>
    </row>
    <row r="4" spans="1:13" ht="22.5" customHeight="1" x14ac:dyDescent="0.2">
      <c r="A4" s="3">
        <v>3</v>
      </c>
      <c r="B4" s="3" t="s">
        <v>13</v>
      </c>
      <c r="C4" s="4">
        <v>93900</v>
      </c>
      <c r="D4" s="4">
        <v>26700</v>
      </c>
      <c r="E4" s="4">
        <v>30800</v>
      </c>
      <c r="F4" s="4">
        <v>57500</v>
      </c>
      <c r="G4" s="4">
        <v>82900</v>
      </c>
      <c r="H4" s="4">
        <v>101500</v>
      </c>
      <c r="I4" s="5">
        <v>1704.31</v>
      </c>
      <c r="J4" s="6">
        <v>3.0710000000000002</v>
      </c>
      <c r="K4" s="6">
        <v>3.1230000000000002</v>
      </c>
      <c r="L4" s="6">
        <v>3.18</v>
      </c>
      <c r="M4" s="6">
        <v>4.1529999999999996</v>
      </c>
    </row>
    <row r="5" spans="1:13" ht="22.5" customHeight="1" x14ac:dyDescent="0.2">
      <c r="A5" s="3">
        <v>4</v>
      </c>
      <c r="B5" s="7">
        <v>46003</v>
      </c>
      <c r="C5" s="4">
        <v>93700</v>
      </c>
      <c r="D5" s="4">
        <v>26000</v>
      </c>
      <c r="E5" s="4">
        <v>28100</v>
      </c>
      <c r="F5" s="4">
        <v>56800</v>
      </c>
      <c r="G5" s="4">
        <v>78500</v>
      </c>
      <c r="H5" s="4">
        <v>94100</v>
      </c>
      <c r="I5" s="5">
        <v>1646.89</v>
      </c>
      <c r="J5" s="6">
        <v>3.0590000000000002</v>
      </c>
      <c r="K5" s="6">
        <v>3.1070000000000002</v>
      </c>
      <c r="L5" s="6">
        <v>3.1739999999999999</v>
      </c>
      <c r="M5" s="6">
        <v>4.1239999999999997</v>
      </c>
    </row>
    <row r="6" spans="1:13" ht="22.5" customHeight="1" x14ac:dyDescent="0.2">
      <c r="A6" s="3">
        <v>5</v>
      </c>
      <c r="B6" s="7">
        <v>45789</v>
      </c>
      <c r="C6" s="4">
        <v>96200</v>
      </c>
      <c r="D6" s="4">
        <v>27000</v>
      </c>
      <c r="E6" s="4">
        <v>28650</v>
      </c>
      <c r="F6" s="4">
        <v>58300</v>
      </c>
      <c r="G6" s="4">
        <v>85100</v>
      </c>
      <c r="H6" s="4">
        <v>107000</v>
      </c>
      <c r="I6" s="5">
        <v>1741.32</v>
      </c>
      <c r="J6" s="6">
        <v>3.0470000000000002</v>
      </c>
      <c r="K6" s="6">
        <v>3.0960000000000001</v>
      </c>
      <c r="L6" s="6">
        <v>3.1619999999999999</v>
      </c>
      <c r="M6" s="6">
        <v>4.0970000000000004</v>
      </c>
    </row>
    <row r="7" spans="1:13" ht="22.5" customHeight="1" x14ac:dyDescent="0.2">
      <c r="A7" s="3">
        <v>6</v>
      </c>
      <c r="B7" s="3" t="s">
        <v>14</v>
      </c>
      <c r="C7" s="4">
        <v>83570</v>
      </c>
      <c r="D7" s="4">
        <v>26550</v>
      </c>
      <c r="E7" s="4">
        <v>29140</v>
      </c>
      <c r="F7" s="4">
        <v>57400</v>
      </c>
      <c r="G7" s="4">
        <v>79900</v>
      </c>
      <c r="H7" s="4">
        <v>102900</v>
      </c>
      <c r="I7" s="5">
        <v>1690.99</v>
      </c>
      <c r="J7" s="6">
        <v>3.004</v>
      </c>
      <c r="K7" s="6">
        <v>3.0489999999999999</v>
      </c>
      <c r="L7" s="6">
        <v>3.125</v>
      </c>
      <c r="M7" s="6">
        <v>4.0309999999999997</v>
      </c>
    </row>
    <row r="8" spans="1:13" ht="22.5" customHeight="1" x14ac:dyDescent="0.2">
      <c r="A8" s="3">
        <v>7</v>
      </c>
      <c r="B8" s="3" t="s">
        <v>15</v>
      </c>
      <c r="C8" s="4">
        <v>86750</v>
      </c>
      <c r="D8" s="4">
        <v>27400</v>
      </c>
      <c r="E8" s="4">
        <v>30470</v>
      </c>
      <c r="F8" s="4">
        <v>59000</v>
      </c>
      <c r="G8" s="4">
        <v>80000</v>
      </c>
      <c r="H8" s="4">
        <v>99300</v>
      </c>
      <c r="I8" s="5">
        <v>1654.93</v>
      </c>
      <c r="J8" s="6">
        <v>3.004</v>
      </c>
      <c r="K8" s="6">
        <v>3.05</v>
      </c>
      <c r="L8" s="6">
        <v>3.1259999999999999</v>
      </c>
      <c r="M8" s="6">
        <v>3.9849999999999999</v>
      </c>
    </row>
    <row r="9" spans="1:13" ht="22.5" customHeight="1" x14ac:dyDescent="0.2">
      <c r="A9" s="3">
        <v>8</v>
      </c>
      <c r="B9" s="3" t="s">
        <v>16</v>
      </c>
      <c r="C9" s="4">
        <v>86060</v>
      </c>
      <c r="D9" s="4">
        <v>26900</v>
      </c>
      <c r="E9" s="4">
        <v>31050</v>
      </c>
      <c r="F9" s="4">
        <v>60000</v>
      </c>
      <c r="G9" s="4">
        <v>81400</v>
      </c>
      <c r="H9" s="4">
        <v>93900</v>
      </c>
      <c r="I9" s="5">
        <v>1635.46</v>
      </c>
      <c r="J9" s="6">
        <v>2.9830000000000001</v>
      </c>
      <c r="K9" s="6">
        <v>3.028</v>
      </c>
      <c r="L9" s="6">
        <v>3.093</v>
      </c>
      <c r="M9" s="6">
        <v>4.0039999999999996</v>
      </c>
    </row>
    <row r="10" spans="1:13" ht="22.5" customHeight="1" x14ac:dyDescent="0.2">
      <c r="A10" s="3">
        <v>9</v>
      </c>
      <c r="B10" s="7">
        <v>45849</v>
      </c>
      <c r="C10" s="4">
        <v>86920</v>
      </c>
      <c r="D10" s="4">
        <v>26050</v>
      </c>
      <c r="E10" s="4">
        <v>29270</v>
      </c>
      <c r="F10" s="4">
        <v>59300</v>
      </c>
      <c r="G10" s="4">
        <v>76500</v>
      </c>
      <c r="H10" s="4">
        <v>92000</v>
      </c>
      <c r="I10" s="5">
        <v>1599.1</v>
      </c>
      <c r="J10" s="6">
        <v>2.9380000000000002</v>
      </c>
      <c r="K10" s="6">
        <v>2.9940000000000002</v>
      </c>
      <c r="L10" s="6">
        <v>3.0760000000000001</v>
      </c>
      <c r="M10" s="6">
        <v>3.9780000000000002</v>
      </c>
    </row>
    <row r="11" spans="1:13" ht="22.5" customHeight="1" x14ac:dyDescent="0.2">
      <c r="A11" s="3">
        <v>10</v>
      </c>
      <c r="B11" s="3" t="s">
        <v>17</v>
      </c>
      <c r="C11" s="4">
        <v>89420</v>
      </c>
      <c r="D11" s="4">
        <v>26700</v>
      </c>
      <c r="E11" s="4">
        <v>30470</v>
      </c>
      <c r="F11" s="4">
        <v>59600</v>
      </c>
      <c r="G11" s="4">
        <v>82600</v>
      </c>
      <c r="H11" s="4">
        <v>99200</v>
      </c>
      <c r="I11" s="5">
        <v>1639.65</v>
      </c>
      <c r="J11" s="6">
        <v>2.9329999999999998</v>
      </c>
      <c r="K11" s="6">
        <v>2.9790000000000001</v>
      </c>
      <c r="L11" s="6">
        <v>3.0539999999999998</v>
      </c>
      <c r="M11" s="6">
        <v>3.9540000000000002</v>
      </c>
    </row>
    <row r="12" spans="1:13" ht="22.5" customHeight="1" x14ac:dyDescent="0.2">
      <c r="A12" s="3">
        <v>11</v>
      </c>
      <c r="B12" s="3" t="s">
        <v>18</v>
      </c>
      <c r="C12" s="4">
        <v>84080</v>
      </c>
      <c r="D12" s="4">
        <v>26400</v>
      </c>
      <c r="E12" s="4">
        <v>31980</v>
      </c>
      <c r="F12" s="4">
        <v>59500</v>
      </c>
      <c r="G12" s="4">
        <v>85700</v>
      </c>
      <c r="H12" s="4">
        <v>114500</v>
      </c>
      <c r="I12" s="5">
        <v>1683.18</v>
      </c>
      <c r="J12" s="6">
        <v>2.9329999999999998</v>
      </c>
      <c r="K12" s="6">
        <v>2.98</v>
      </c>
      <c r="L12" s="6">
        <v>3.056</v>
      </c>
      <c r="M12" s="6">
        <v>3.9169999999999998</v>
      </c>
    </row>
    <row r="13" spans="1:13" ht="22.5" customHeight="1" x14ac:dyDescent="0.2">
      <c r="A13" s="3">
        <v>12</v>
      </c>
      <c r="B13" s="3" t="s">
        <v>19</v>
      </c>
      <c r="C13" s="4">
        <v>75820</v>
      </c>
      <c r="D13" s="4">
        <v>28000</v>
      </c>
      <c r="E13" s="4">
        <v>36240</v>
      </c>
      <c r="F13" s="4">
        <v>61900</v>
      </c>
      <c r="G13" s="4">
        <v>84500</v>
      </c>
      <c r="H13" s="4">
        <v>116000</v>
      </c>
      <c r="I13" s="5">
        <v>1731.19</v>
      </c>
      <c r="J13" s="6">
        <v>2.8919999999999999</v>
      </c>
      <c r="K13" s="6">
        <v>2.9409999999999998</v>
      </c>
      <c r="L13" s="6">
        <v>3.0179999999999998</v>
      </c>
      <c r="M13" s="6">
        <v>3.8759999999999999</v>
      </c>
    </row>
    <row r="14" spans="1:13" ht="22.5" customHeight="1" x14ac:dyDescent="0.2">
      <c r="A14" s="3">
        <v>13</v>
      </c>
      <c r="B14" s="7">
        <v>45940</v>
      </c>
      <c r="C14" s="4">
        <v>82710</v>
      </c>
      <c r="D14" s="4">
        <v>29600</v>
      </c>
      <c r="E14" s="4">
        <v>36150</v>
      </c>
      <c r="F14" s="4">
        <v>64200</v>
      </c>
      <c r="G14" s="4">
        <v>82000</v>
      </c>
      <c r="H14" s="4">
        <v>123000</v>
      </c>
      <c r="I14" s="5">
        <v>1747.55</v>
      </c>
      <c r="J14" s="6">
        <v>2.8719999999999999</v>
      </c>
      <c r="K14" s="6">
        <v>2.9209999999999998</v>
      </c>
      <c r="L14" s="6">
        <v>2.992</v>
      </c>
      <c r="M14" s="6">
        <v>3.8540000000000001</v>
      </c>
    </row>
    <row r="15" spans="1:13" ht="22.5" customHeight="1" x14ac:dyDescent="0.2">
      <c r="A15" s="3">
        <v>14</v>
      </c>
      <c r="B15" s="7">
        <v>45726</v>
      </c>
      <c r="C15" s="4">
        <v>80380</v>
      </c>
      <c r="D15" s="4">
        <v>27650</v>
      </c>
      <c r="E15" s="4">
        <v>33440</v>
      </c>
      <c r="F15" s="4">
        <v>61700</v>
      </c>
      <c r="G15" s="4">
        <v>77000</v>
      </c>
      <c r="H15" s="4">
        <v>100000</v>
      </c>
      <c r="I15" s="5">
        <v>1645.82</v>
      </c>
      <c r="J15" s="6">
        <v>2.8540000000000001</v>
      </c>
      <c r="K15" s="6">
        <v>2.9079999999999999</v>
      </c>
      <c r="L15" s="6">
        <v>2.9769999999999999</v>
      </c>
      <c r="M15" s="6">
        <v>3.79</v>
      </c>
    </row>
    <row r="16" spans="1:13" ht="22.5" customHeight="1" x14ac:dyDescent="0.2">
      <c r="A16" s="3">
        <v>15</v>
      </c>
      <c r="B16" s="3" t="s">
        <v>20</v>
      </c>
      <c r="C16" s="4">
        <v>83910</v>
      </c>
      <c r="D16" s="4">
        <v>28550</v>
      </c>
      <c r="E16" s="4">
        <v>33760</v>
      </c>
      <c r="F16" s="4">
        <v>41840</v>
      </c>
      <c r="G16" s="4">
        <v>77900</v>
      </c>
      <c r="H16" s="4">
        <v>99000</v>
      </c>
      <c r="I16" s="5">
        <v>1660.7</v>
      </c>
      <c r="J16" s="6">
        <v>2.8380000000000001</v>
      </c>
      <c r="K16" s="6">
        <v>2.8839999999999999</v>
      </c>
      <c r="L16" s="6">
        <v>2.9529999999999998</v>
      </c>
      <c r="M16" s="6">
        <v>3.7589999999999999</v>
      </c>
    </row>
    <row r="17" spans="1:13" ht="22.5" customHeight="1" x14ac:dyDescent="0.2">
      <c r="A17" s="3">
        <v>16</v>
      </c>
      <c r="B17" s="3" t="s">
        <v>21</v>
      </c>
      <c r="C17" s="4">
        <v>88650</v>
      </c>
      <c r="D17" s="4">
        <v>29250</v>
      </c>
      <c r="E17" s="4">
        <v>27980</v>
      </c>
      <c r="F17" s="4">
        <v>41840</v>
      </c>
      <c r="G17" s="4">
        <v>78600</v>
      </c>
      <c r="H17" s="4">
        <v>101700</v>
      </c>
      <c r="I17" s="5">
        <v>1658.62</v>
      </c>
      <c r="J17" s="6">
        <v>2.819</v>
      </c>
      <c r="K17" s="6">
        <v>2.8650000000000002</v>
      </c>
      <c r="L17" s="6">
        <v>2.9369999999999998</v>
      </c>
      <c r="M17" s="6">
        <v>3.7040000000000002</v>
      </c>
    </row>
    <row r="18" spans="1:13" ht="22.5" customHeight="1" x14ac:dyDescent="0.2">
      <c r="A18" s="3">
        <v>17</v>
      </c>
      <c r="B18" s="7">
        <v>46000</v>
      </c>
      <c r="C18" s="4">
        <v>87440</v>
      </c>
      <c r="D18" s="4">
        <v>30000</v>
      </c>
      <c r="E18" s="4">
        <v>29060</v>
      </c>
      <c r="F18" s="4">
        <v>43700</v>
      </c>
      <c r="G18" s="4">
        <v>79000</v>
      </c>
      <c r="H18" s="4">
        <v>105500</v>
      </c>
      <c r="I18" s="5">
        <v>1667.26</v>
      </c>
      <c r="J18" s="6">
        <v>2.8109999999999999</v>
      </c>
      <c r="K18" s="6">
        <v>2.8580000000000001</v>
      </c>
      <c r="L18" s="6">
        <v>2.9319999999999999</v>
      </c>
      <c r="M18" s="6">
        <v>3.6949999999999998</v>
      </c>
    </row>
    <row r="19" spans="1:13" ht="22.5" customHeight="1" x14ac:dyDescent="0.2">
      <c r="A19" s="3">
        <v>18</v>
      </c>
      <c r="B19" s="7">
        <v>45786</v>
      </c>
      <c r="C19" s="4">
        <v>88990</v>
      </c>
      <c r="D19" s="4">
        <v>28800</v>
      </c>
      <c r="E19" s="4">
        <v>28090</v>
      </c>
      <c r="F19" s="4">
        <v>44830</v>
      </c>
      <c r="G19" s="4">
        <v>75000</v>
      </c>
      <c r="H19" s="4">
        <v>100000</v>
      </c>
      <c r="I19" s="5">
        <v>1666.97</v>
      </c>
      <c r="J19" s="6">
        <v>2.7989999999999999</v>
      </c>
      <c r="K19" s="6">
        <v>2.8479999999999999</v>
      </c>
      <c r="L19" s="6">
        <v>2.923</v>
      </c>
      <c r="M19" s="6">
        <v>3.6640000000000001</v>
      </c>
    </row>
    <row r="20" spans="1:13" ht="22.5" customHeight="1" x14ac:dyDescent="0.2">
      <c r="A20" s="3">
        <v>19</v>
      </c>
      <c r="B20" s="3" t="s">
        <v>22</v>
      </c>
      <c r="C20" s="4">
        <v>87440</v>
      </c>
      <c r="D20" s="4">
        <v>27500</v>
      </c>
      <c r="E20" s="4">
        <v>29270</v>
      </c>
      <c r="F20" s="4">
        <v>45560</v>
      </c>
      <c r="G20" s="4">
        <v>78000</v>
      </c>
      <c r="H20" s="4">
        <v>104500</v>
      </c>
      <c r="I20" s="5">
        <v>1682.21</v>
      </c>
      <c r="J20" s="6">
        <v>2.782</v>
      </c>
      <c r="K20" s="6">
        <v>2.831</v>
      </c>
      <c r="L20" s="6">
        <v>2.8860000000000001</v>
      </c>
      <c r="M20" s="6">
        <v>3.6890000000000001</v>
      </c>
    </row>
    <row r="21" spans="1:13" ht="22" customHeight="1" x14ac:dyDescent="0.2">
      <c r="A21" s="3">
        <v>20</v>
      </c>
      <c r="B21" s="3" t="s">
        <v>23</v>
      </c>
      <c r="C21" s="4">
        <v>85200</v>
      </c>
      <c r="D21" s="4">
        <v>26000</v>
      </c>
      <c r="E21" s="4">
        <v>24790</v>
      </c>
      <c r="F21" s="4">
        <v>42900</v>
      </c>
      <c r="G21" s="4">
        <v>70300</v>
      </c>
      <c r="H21" s="4">
        <v>98100</v>
      </c>
      <c r="I21" s="5">
        <v>1645.47</v>
      </c>
      <c r="J21" s="6">
        <v>2.6869999999999998</v>
      </c>
      <c r="K21" s="6">
        <v>2.7389999999999999</v>
      </c>
      <c r="L21" s="6">
        <v>2.79</v>
      </c>
      <c r="M21" s="6">
        <v>3.6720000000000002</v>
      </c>
    </row>
    <row r="22" spans="1:13" ht="25" customHeight="1" x14ac:dyDescent="0.2">
      <c r="A22" s="3">
        <v>21</v>
      </c>
      <c r="B22" s="3" t="s">
        <v>24</v>
      </c>
      <c r="C22" s="4">
        <v>87270</v>
      </c>
      <c r="D22" s="4">
        <v>28000</v>
      </c>
      <c r="E22" s="4">
        <v>25350</v>
      </c>
      <c r="F22" s="4">
        <v>42700</v>
      </c>
      <c r="G22" s="4">
        <v>70500</v>
      </c>
      <c r="H22" s="4">
        <v>94000</v>
      </c>
      <c r="I22" s="5">
        <v>1630</v>
      </c>
      <c r="J22" s="6">
        <v>2.6339999999999999</v>
      </c>
      <c r="K22" s="6">
        <v>2.6859999999999999</v>
      </c>
      <c r="L22" s="6">
        <v>2.7410000000000001</v>
      </c>
      <c r="M22" s="6">
        <v>3.56</v>
      </c>
    </row>
    <row r="23" spans="1:13" ht="20.5" customHeight="1" x14ac:dyDescent="0.2">
      <c r="A23" s="3">
        <v>22</v>
      </c>
      <c r="B23" s="7">
        <v>45877</v>
      </c>
      <c r="C23" s="4">
        <v>90880</v>
      </c>
      <c r="D23" s="4">
        <v>28000</v>
      </c>
      <c r="E23" s="4">
        <v>24620</v>
      </c>
      <c r="F23" s="4">
        <v>40970</v>
      </c>
      <c r="G23" s="4">
        <v>72000</v>
      </c>
      <c r="H23" s="4">
        <v>95000</v>
      </c>
      <c r="I23" s="5">
        <v>1584.95</v>
      </c>
      <c r="J23" s="6">
        <v>2.5470000000000002</v>
      </c>
      <c r="K23" s="6">
        <v>2.6019999999999999</v>
      </c>
      <c r="L23" s="6">
        <v>2.681</v>
      </c>
      <c r="M23" s="6">
        <v>3.492</v>
      </c>
    </row>
    <row r="24" spans="1:13" ht="18.5" customHeight="1" x14ac:dyDescent="0.2">
      <c r="A24" s="3">
        <v>23</v>
      </c>
      <c r="B24" s="7">
        <v>45665</v>
      </c>
      <c r="C24" s="4">
        <v>92090</v>
      </c>
      <c r="D24" s="4">
        <v>25150</v>
      </c>
      <c r="E24" s="4">
        <v>23020</v>
      </c>
      <c r="F24" s="4">
        <v>39980</v>
      </c>
      <c r="G24" s="4">
        <v>65200</v>
      </c>
      <c r="H24" s="4">
        <v>90000</v>
      </c>
      <c r="I24" s="5">
        <v>1495.21</v>
      </c>
      <c r="J24" s="6">
        <v>2.4889999999999999</v>
      </c>
      <c r="K24" s="6">
        <v>2.5430000000000001</v>
      </c>
      <c r="L24" s="6">
        <v>2.6150000000000002</v>
      </c>
      <c r="M24" s="6">
        <v>3.4620000000000002</v>
      </c>
    </row>
    <row r="25" spans="1:13" ht="17" customHeight="1" x14ac:dyDescent="0.2">
      <c r="A25" s="3">
        <v>24</v>
      </c>
      <c r="B25" s="3" t="s">
        <v>25</v>
      </c>
      <c r="C25" s="4">
        <v>95270</v>
      </c>
      <c r="D25" s="4">
        <v>26050</v>
      </c>
      <c r="E25" s="4">
        <v>23580</v>
      </c>
      <c r="F25" s="4">
        <v>41240</v>
      </c>
      <c r="G25" s="4">
        <v>70100</v>
      </c>
      <c r="H25" s="4">
        <v>92000</v>
      </c>
      <c r="I25" s="5">
        <v>1531.13</v>
      </c>
      <c r="J25" s="6">
        <v>2.4580000000000002</v>
      </c>
      <c r="K25" s="6">
        <v>2.4990000000000001</v>
      </c>
      <c r="L25" s="6">
        <v>2.5750000000000002</v>
      </c>
      <c r="M25" s="6">
        <v>3.4340000000000002</v>
      </c>
    </row>
    <row r="26" spans="1:13" ht="21" customHeight="1" x14ac:dyDescent="0.2">
      <c r="A26" s="3">
        <v>25</v>
      </c>
      <c r="B26" s="3" t="s">
        <v>26</v>
      </c>
      <c r="C26" s="4">
        <v>107520</v>
      </c>
      <c r="D26" s="4">
        <v>25900</v>
      </c>
      <c r="E26" s="4">
        <v>22050</v>
      </c>
      <c r="F26" s="4">
        <v>41310</v>
      </c>
      <c r="G26" s="4">
        <v>63050</v>
      </c>
      <c r="H26" s="4">
        <v>94100</v>
      </c>
      <c r="I26" s="5">
        <v>1497.28</v>
      </c>
      <c r="J26" s="6">
        <v>2.4129999999999998</v>
      </c>
      <c r="K26" s="6">
        <v>2.4449999999999998</v>
      </c>
      <c r="L26" s="6">
        <v>2.5150000000000001</v>
      </c>
      <c r="M26" s="6">
        <v>3.3980000000000001</v>
      </c>
    </row>
    <row r="27" spans="1:13" ht="19" customHeight="1" x14ac:dyDescent="0.2">
      <c r="A27" s="3">
        <v>26</v>
      </c>
      <c r="B27" s="7">
        <v>45968</v>
      </c>
      <c r="C27" s="4">
        <v>108030</v>
      </c>
      <c r="D27" s="4">
        <v>26000</v>
      </c>
      <c r="E27" s="4">
        <v>20560</v>
      </c>
      <c r="F27" s="4">
        <v>40770</v>
      </c>
      <c r="G27" s="4">
        <v>60550</v>
      </c>
      <c r="H27" s="4">
        <v>86000</v>
      </c>
      <c r="I27" s="5">
        <v>1457.76</v>
      </c>
      <c r="J27" s="6">
        <v>2.4089999999999998</v>
      </c>
      <c r="K27" s="6">
        <v>2.4670000000000001</v>
      </c>
      <c r="L27" s="6">
        <v>2.5499999999999998</v>
      </c>
      <c r="M27" s="6">
        <v>3.3519999999999999</v>
      </c>
    </row>
    <row r="28" spans="1:13" ht="18.5" customHeight="1" x14ac:dyDescent="0.2">
      <c r="A28" s="3">
        <v>27</v>
      </c>
      <c r="B28" s="7">
        <v>45754</v>
      </c>
      <c r="C28" s="4">
        <v>104530</v>
      </c>
      <c r="D28" s="4">
        <v>23250</v>
      </c>
      <c r="E28" s="4">
        <v>17960</v>
      </c>
      <c r="F28" s="4">
        <v>38450</v>
      </c>
      <c r="G28" s="4">
        <v>59130</v>
      </c>
      <c r="H28" s="4">
        <v>76300</v>
      </c>
      <c r="I28" s="5">
        <v>1386.97</v>
      </c>
      <c r="J28" s="6">
        <v>2.327</v>
      </c>
      <c r="K28" s="6">
        <v>2.3759999999999999</v>
      </c>
      <c r="L28" s="6">
        <v>2.4550000000000001</v>
      </c>
      <c r="M28" s="6">
        <v>3.3439999999999999</v>
      </c>
    </row>
    <row r="29" spans="1:13" ht="20" customHeight="1" x14ac:dyDescent="0.2">
      <c r="A29" s="3">
        <v>28</v>
      </c>
      <c r="B29" s="3" t="s">
        <v>27</v>
      </c>
      <c r="C29" s="4">
        <v>100100</v>
      </c>
      <c r="D29" s="4">
        <v>22850</v>
      </c>
      <c r="E29" s="4">
        <v>17090</v>
      </c>
      <c r="F29" s="4">
        <v>37450</v>
      </c>
      <c r="G29" s="4">
        <v>58680</v>
      </c>
      <c r="H29" s="4">
        <v>76000</v>
      </c>
      <c r="I29" s="5">
        <v>1371.44</v>
      </c>
      <c r="J29" s="6">
        <v>2.319</v>
      </c>
      <c r="K29" s="6">
        <v>2.36</v>
      </c>
      <c r="L29" s="6">
        <v>2.4289999999999998</v>
      </c>
      <c r="M29" s="6">
        <v>3.323</v>
      </c>
    </row>
    <row r="30" spans="1:13" ht="25" customHeight="1" x14ac:dyDescent="0.2">
      <c r="A30" s="3">
        <v>29</v>
      </c>
      <c r="B30" s="3" t="s">
        <v>28</v>
      </c>
      <c r="C30" s="4">
        <v>99070</v>
      </c>
      <c r="D30" s="4">
        <v>20450</v>
      </c>
      <c r="E30" s="4">
        <v>16640</v>
      </c>
      <c r="F30" s="4">
        <v>37590</v>
      </c>
      <c r="G30" s="4">
        <v>57160</v>
      </c>
      <c r="H30" s="4">
        <v>71700</v>
      </c>
      <c r="I30" s="5">
        <v>1349.35</v>
      </c>
      <c r="J30" s="6">
        <v>2.3159999999999998</v>
      </c>
      <c r="K30" s="6">
        <v>2.3580000000000001</v>
      </c>
      <c r="L30" s="6">
        <v>2.42</v>
      </c>
      <c r="M30" s="6">
        <v>3.3069999999999999</v>
      </c>
    </row>
    <row r="31" spans="1:13" ht="22" customHeight="1" x14ac:dyDescent="0.2">
      <c r="A31" s="3">
        <v>30</v>
      </c>
      <c r="B31" s="3" t="s">
        <v>29</v>
      </c>
      <c r="C31" s="4">
        <v>98470</v>
      </c>
      <c r="D31" s="4">
        <v>20000</v>
      </c>
      <c r="E31" s="4">
        <v>16050</v>
      </c>
      <c r="F31" s="4">
        <v>37190</v>
      </c>
      <c r="G31" s="4">
        <v>56360</v>
      </c>
      <c r="H31" s="4">
        <v>70000</v>
      </c>
      <c r="I31" s="5">
        <v>1315.49</v>
      </c>
      <c r="J31" s="6">
        <v>2.2789999999999999</v>
      </c>
      <c r="K31" s="6">
        <v>2.3210000000000002</v>
      </c>
      <c r="L31" s="6">
        <v>2.38</v>
      </c>
      <c r="M31" s="6">
        <v>3.27</v>
      </c>
    </row>
    <row r="32" spans="1:13" ht="21" customHeight="1" x14ac:dyDescent="0.2">
      <c r="A32" s="3">
        <v>31</v>
      </c>
      <c r="B32" s="7">
        <v>45814</v>
      </c>
      <c r="C32" s="4">
        <v>97460</v>
      </c>
      <c r="D32" s="4">
        <v>19730</v>
      </c>
      <c r="E32" s="4">
        <v>16370.000000000002</v>
      </c>
      <c r="F32" s="4">
        <v>37390</v>
      </c>
      <c r="G32" s="4">
        <v>53950</v>
      </c>
      <c r="H32" s="4">
        <v>76800</v>
      </c>
      <c r="I32" s="5">
        <v>1329.89</v>
      </c>
      <c r="J32" s="6">
        <v>2.2810000000000001</v>
      </c>
      <c r="K32" s="6">
        <v>2.3260000000000001</v>
      </c>
      <c r="L32" s="6">
        <v>2.3860000000000001</v>
      </c>
      <c r="M32" s="6">
        <v>3.2519999999999998</v>
      </c>
    </row>
    <row r="33" spans="1:13" ht="15.75" customHeight="1" x14ac:dyDescent="0.2"/>
    <row r="34" spans="1:13" ht="15.75" customHeight="1" x14ac:dyDescent="0.2"/>
    <row r="35" spans="1:13" ht="26.5" customHeight="1" x14ac:dyDescent="0.2">
      <c r="A35" s="30" t="s">
        <v>41</v>
      </c>
      <c r="B35" s="29" t="s">
        <v>37</v>
      </c>
      <c r="C35" s="31" t="s">
        <v>39</v>
      </c>
      <c r="D35" s="29"/>
      <c r="E35" s="29"/>
      <c r="F35" s="29"/>
      <c r="G35" s="29"/>
      <c r="H35" s="29"/>
      <c r="I35" s="32"/>
      <c r="J35" s="29" t="s">
        <v>40</v>
      </c>
      <c r="K35" s="29"/>
      <c r="L35" s="29"/>
      <c r="M35" s="29"/>
    </row>
    <row r="36" spans="1:13" ht="26.5" customHeight="1" x14ac:dyDescent="0.2">
      <c r="A36" s="30"/>
      <c r="B36" s="29"/>
      <c r="C36" s="22" t="s">
        <v>0</v>
      </c>
      <c r="D36" s="21" t="s">
        <v>1</v>
      </c>
      <c r="E36" s="21" t="s">
        <v>2</v>
      </c>
      <c r="F36" s="21" t="s">
        <v>3</v>
      </c>
      <c r="G36" s="21" t="s">
        <v>4</v>
      </c>
      <c r="H36" s="21" t="s">
        <v>5</v>
      </c>
      <c r="I36" s="23" t="s">
        <v>6</v>
      </c>
      <c r="J36" s="21" t="s">
        <v>7</v>
      </c>
      <c r="K36" s="21" t="s">
        <v>8</v>
      </c>
      <c r="L36" s="21" t="s">
        <v>9</v>
      </c>
      <c r="M36" s="21" t="s">
        <v>10</v>
      </c>
    </row>
    <row r="37" spans="1:13" ht="15.75" customHeight="1" x14ac:dyDescent="0.2">
      <c r="A37" s="10">
        <v>1</v>
      </c>
      <c r="B37" s="11">
        <v>12</v>
      </c>
      <c r="C37" s="12">
        <f t="shared" ref="C37:I46" si="0">(C2-C3)/C3</f>
        <v>3.5675675675675679E-2</v>
      </c>
      <c r="D37" s="12">
        <f t="shared" si="0"/>
        <v>-1.858736059479554E-2</v>
      </c>
      <c r="E37" s="12">
        <f t="shared" si="0"/>
        <v>-1.6260162601626018E-2</v>
      </c>
      <c r="F37" s="12">
        <f t="shared" si="0"/>
        <v>7.0052539404553416E-3</v>
      </c>
      <c r="G37" s="12">
        <f t="shared" si="0"/>
        <v>1.6091954022988506E-2</v>
      </c>
      <c r="H37" s="12">
        <f t="shared" si="0"/>
        <v>0.12727272727272726</v>
      </c>
      <c r="I37" s="12">
        <f t="shared" si="0"/>
        <v>3.1616371834894241E-2</v>
      </c>
      <c r="J37" s="16">
        <f>(1+J2/100)^(1/52)-1</f>
        <v>5.8148593723328368E-4</v>
      </c>
      <c r="K37" s="16">
        <f t="shared" ref="J37:M66" si="1">(1+K2/100)^(1/52)-1</f>
        <v>5.9119141625640914E-4</v>
      </c>
      <c r="L37" s="16">
        <f t="shared" si="1"/>
        <v>6.0163810402058537E-4</v>
      </c>
      <c r="M37" s="16">
        <f t="shared" si="1"/>
        <v>7.8891828820171206E-4</v>
      </c>
    </row>
    <row r="38" spans="1:13" ht="15.75" customHeight="1" x14ac:dyDescent="0.2">
      <c r="A38" s="10">
        <v>2</v>
      </c>
      <c r="B38" s="11">
        <v>12</v>
      </c>
      <c r="C38" s="12">
        <f t="shared" si="0"/>
        <v>-1.4909478168264111E-2</v>
      </c>
      <c r="D38" s="12">
        <f t="shared" si="0"/>
        <v>7.4906367041198503E-3</v>
      </c>
      <c r="E38" s="12">
        <f t="shared" si="0"/>
        <v>-1.6233766233766235E-3</v>
      </c>
      <c r="F38" s="12">
        <f t="shared" si="0"/>
        <v>-6.956521739130435E-3</v>
      </c>
      <c r="G38" s="12">
        <f t="shared" si="0"/>
        <v>4.9457177322074788E-2</v>
      </c>
      <c r="H38" s="12">
        <f t="shared" si="0"/>
        <v>8.3743842364532015E-2</v>
      </c>
      <c r="I38" s="12">
        <f t="shared" si="0"/>
        <v>1.4956199282994296E-2</v>
      </c>
      <c r="J38" s="16">
        <f t="shared" si="1"/>
        <v>5.8092585923774642E-4</v>
      </c>
      <c r="K38" s="16">
        <f t="shared" si="1"/>
        <v>5.906316152608504E-4</v>
      </c>
      <c r="L38" s="16">
        <f t="shared" si="1"/>
        <v>6.0107860102376343E-4</v>
      </c>
      <c r="M38" s="16">
        <f t="shared" si="1"/>
        <v>7.8762515837493829E-4</v>
      </c>
    </row>
    <row r="39" spans="1:13" ht="15.75" customHeight="1" x14ac:dyDescent="0.2">
      <c r="A39" s="10">
        <v>3</v>
      </c>
      <c r="B39" s="11">
        <v>12</v>
      </c>
      <c r="C39" s="12">
        <f t="shared" si="0"/>
        <v>2.1344717182497333E-3</v>
      </c>
      <c r="D39" s="12">
        <f t="shared" si="0"/>
        <v>2.6923076923076925E-2</v>
      </c>
      <c r="E39" s="12">
        <f t="shared" si="0"/>
        <v>9.6085409252669035E-2</v>
      </c>
      <c r="F39" s="12">
        <f t="shared" si="0"/>
        <v>1.232394366197183E-2</v>
      </c>
      <c r="G39" s="12">
        <f t="shared" si="0"/>
        <v>5.605095541401274E-2</v>
      </c>
      <c r="H39" s="12">
        <f t="shared" si="0"/>
        <v>7.8639744952178528E-2</v>
      </c>
      <c r="I39" s="12">
        <f t="shared" si="0"/>
        <v>3.4865716593093551E-2</v>
      </c>
      <c r="J39" s="16">
        <f t="shared" si="1"/>
        <v>5.8185931368126553E-4</v>
      </c>
      <c r="K39" s="16">
        <f t="shared" si="1"/>
        <v>5.9156460804632438E-4</v>
      </c>
      <c r="L39" s="16">
        <f t="shared" si="1"/>
        <v>6.0219759106217019E-4</v>
      </c>
      <c r="M39" s="16">
        <f t="shared" si="1"/>
        <v>7.8282135853413592E-4</v>
      </c>
    </row>
    <row r="40" spans="1:13" ht="15.75" customHeight="1" x14ac:dyDescent="0.2">
      <c r="A40" s="10">
        <v>4</v>
      </c>
      <c r="B40" s="11">
        <v>12</v>
      </c>
      <c r="C40" s="12">
        <f t="shared" si="0"/>
        <v>-2.5987525987525989E-2</v>
      </c>
      <c r="D40" s="12">
        <f t="shared" si="0"/>
        <v>-3.7037037037037035E-2</v>
      </c>
      <c r="E40" s="12">
        <f t="shared" si="0"/>
        <v>-1.9197207678883072E-2</v>
      </c>
      <c r="F40" s="12">
        <f t="shared" si="0"/>
        <v>-2.5728987993138937E-2</v>
      </c>
      <c r="G40" s="12">
        <f t="shared" si="0"/>
        <v>-7.7555816686251472E-2</v>
      </c>
      <c r="H40" s="12">
        <f t="shared" si="0"/>
        <v>-0.1205607476635514</v>
      </c>
      <c r="I40" s="12">
        <f t="shared" si="0"/>
        <v>-5.4228975719568973E-2</v>
      </c>
      <c r="J40" s="16">
        <f t="shared" si="1"/>
        <v>5.7961894839952954E-4</v>
      </c>
      <c r="K40" s="16">
        <f t="shared" si="1"/>
        <v>5.885788749440124E-4</v>
      </c>
      <c r="L40" s="16">
        <f t="shared" si="1"/>
        <v>6.0107860102376343E-4</v>
      </c>
      <c r="M40" s="16">
        <f t="shared" si="1"/>
        <v>7.77461886386277E-4</v>
      </c>
    </row>
    <row r="41" spans="1:13" ht="15.75" customHeight="1" x14ac:dyDescent="0.2">
      <c r="A41" s="10">
        <v>5</v>
      </c>
      <c r="B41" s="11">
        <v>12</v>
      </c>
      <c r="C41" s="12">
        <f t="shared" si="0"/>
        <v>0.15113078856048823</v>
      </c>
      <c r="D41" s="12">
        <f t="shared" si="0"/>
        <v>1.6949152542372881E-2</v>
      </c>
      <c r="E41" s="12">
        <f t="shared" si="0"/>
        <v>-1.6815374056280027E-2</v>
      </c>
      <c r="F41" s="12">
        <f t="shared" si="0"/>
        <v>1.5679442508710801E-2</v>
      </c>
      <c r="G41" s="12">
        <f t="shared" si="0"/>
        <v>6.5081351689612016E-2</v>
      </c>
      <c r="H41" s="12">
        <f t="shared" si="0"/>
        <v>3.9844509232264333E-2</v>
      </c>
      <c r="I41" s="12">
        <f t="shared" si="0"/>
        <v>2.9763629589766898E-2</v>
      </c>
      <c r="J41" s="16">
        <f t="shared" si="1"/>
        <v>5.773783272557953E-4</v>
      </c>
      <c r="K41" s="16">
        <f t="shared" si="1"/>
        <v>5.8652591983010538E-4</v>
      </c>
      <c r="L41" s="16">
        <f t="shared" si="1"/>
        <v>5.988404294665628E-4</v>
      </c>
      <c r="M41" s="16">
        <f t="shared" si="1"/>
        <v>7.7247071682595703E-4</v>
      </c>
    </row>
    <row r="42" spans="1:13" ht="15.75" customHeight="1" x14ac:dyDescent="0.2">
      <c r="A42" s="10">
        <v>6</v>
      </c>
      <c r="B42" s="11">
        <v>11</v>
      </c>
      <c r="C42" s="12">
        <f t="shared" si="0"/>
        <v>-3.6657060518731986E-2</v>
      </c>
      <c r="D42" s="12">
        <f t="shared" si="0"/>
        <v>-3.1021897810218978E-2</v>
      </c>
      <c r="E42" s="12">
        <f t="shared" si="0"/>
        <v>-4.3649491302920909E-2</v>
      </c>
      <c r="F42" s="12">
        <f t="shared" si="0"/>
        <v>-2.7118644067796609E-2</v>
      </c>
      <c r="G42" s="12">
        <f t="shared" si="0"/>
        <v>-1.25E-3</v>
      </c>
      <c r="H42" s="12">
        <f t="shared" si="0"/>
        <v>3.6253776435045321E-2</v>
      </c>
      <c r="I42" s="12">
        <f t="shared" si="0"/>
        <v>2.1789441245249008E-2</v>
      </c>
      <c r="J42" s="16">
        <f t="shared" si="1"/>
        <v>5.6934733283320327E-4</v>
      </c>
      <c r="K42" s="16">
        <f t="shared" si="1"/>
        <v>5.7775178188390619E-4</v>
      </c>
      <c r="L42" s="16">
        <f t="shared" si="1"/>
        <v>5.9193779273791769E-4</v>
      </c>
      <c r="M42" s="16">
        <f t="shared" si="1"/>
        <v>7.602647329192358E-4</v>
      </c>
    </row>
    <row r="43" spans="1:13" ht="15.75" customHeight="1" x14ac:dyDescent="0.2">
      <c r="A43" s="10">
        <v>7</v>
      </c>
      <c r="B43" s="11">
        <v>11</v>
      </c>
      <c r="C43" s="12">
        <f t="shared" si="0"/>
        <v>8.0176620962119447E-3</v>
      </c>
      <c r="D43" s="12">
        <f t="shared" si="0"/>
        <v>1.858736059479554E-2</v>
      </c>
      <c r="E43" s="12">
        <f t="shared" si="0"/>
        <v>-1.8679549114331721E-2</v>
      </c>
      <c r="F43" s="12">
        <f t="shared" si="0"/>
        <v>-1.6666666666666666E-2</v>
      </c>
      <c r="G43" s="12">
        <f t="shared" si="0"/>
        <v>-1.7199017199017199E-2</v>
      </c>
      <c r="H43" s="12">
        <f t="shared" si="0"/>
        <v>5.7507987220447282E-2</v>
      </c>
      <c r="I43" s="12">
        <f t="shared" si="0"/>
        <v>1.1904907487801614E-2</v>
      </c>
      <c r="J43" s="16">
        <f t="shared" si="1"/>
        <v>5.6934733283320327E-4</v>
      </c>
      <c r="K43" s="16">
        <f t="shared" si="1"/>
        <v>5.7793850653209411E-4</v>
      </c>
      <c r="L43" s="16">
        <f t="shared" si="1"/>
        <v>5.9212438242162158E-4</v>
      </c>
      <c r="M43" s="16">
        <f t="shared" si="1"/>
        <v>7.5175303981733776E-4</v>
      </c>
    </row>
    <row r="44" spans="1:13" ht="15.75" customHeight="1" x14ac:dyDescent="0.2">
      <c r="A44" s="10">
        <v>8</v>
      </c>
      <c r="B44" s="11">
        <v>11</v>
      </c>
      <c r="C44" s="12">
        <f t="shared" si="0"/>
        <v>-9.8941555453290388E-3</v>
      </c>
      <c r="D44" s="12">
        <f t="shared" si="0"/>
        <v>3.2629558541266791E-2</v>
      </c>
      <c r="E44" s="12">
        <f t="shared" si="0"/>
        <v>6.0813119234711312E-2</v>
      </c>
      <c r="F44" s="12">
        <f t="shared" si="0"/>
        <v>1.1804384485666104E-2</v>
      </c>
      <c r="G44" s="12">
        <f t="shared" si="0"/>
        <v>6.4052287581699341E-2</v>
      </c>
      <c r="H44" s="12">
        <f t="shared" si="0"/>
        <v>2.0652173913043477E-2</v>
      </c>
      <c r="I44" s="12">
        <f t="shared" si="0"/>
        <v>2.273779000687895E-2</v>
      </c>
      <c r="J44" s="16">
        <f t="shared" si="1"/>
        <v>5.6542402416082105E-4</v>
      </c>
      <c r="K44" s="16">
        <f t="shared" si="1"/>
        <v>5.7383015369438795E-4</v>
      </c>
      <c r="L44" s="16">
        <f t="shared" si="1"/>
        <v>5.8596598569615743E-4</v>
      </c>
      <c r="M44" s="16">
        <f t="shared" si="1"/>
        <v>7.5526918670743015E-4</v>
      </c>
    </row>
    <row r="45" spans="1:13" ht="15.75" customHeight="1" x14ac:dyDescent="0.2">
      <c r="A45" s="10">
        <v>9</v>
      </c>
      <c r="B45" s="11">
        <v>11</v>
      </c>
      <c r="C45" s="12">
        <f t="shared" si="0"/>
        <v>-2.7957951241333035E-2</v>
      </c>
      <c r="D45" s="12">
        <f t="shared" si="0"/>
        <v>-2.4344569288389514E-2</v>
      </c>
      <c r="E45" s="12">
        <f t="shared" si="0"/>
        <v>-3.9382999671808333E-2</v>
      </c>
      <c r="F45" s="12">
        <f t="shared" si="0"/>
        <v>-5.0335570469798654E-3</v>
      </c>
      <c r="G45" s="12">
        <f t="shared" si="0"/>
        <v>-7.3849878934624691E-2</v>
      </c>
      <c r="H45" s="12">
        <f t="shared" si="0"/>
        <v>-7.2580645161290328E-2</v>
      </c>
      <c r="I45" s="12">
        <f t="shared" si="0"/>
        <v>-2.4730887689446028E-2</v>
      </c>
      <c r="J45" s="16">
        <f t="shared" si="1"/>
        <v>5.5701429130605717E-4</v>
      </c>
      <c r="K45" s="16">
        <f t="shared" si="1"/>
        <v>5.6747918845623246E-4</v>
      </c>
      <c r="L45" s="16">
        <f t="shared" si="1"/>
        <v>5.8279272371430935E-4</v>
      </c>
      <c r="M45" s="16">
        <f t="shared" si="1"/>
        <v>7.5045745844004585E-4</v>
      </c>
    </row>
    <row r="46" spans="1:13" ht="15.75" customHeight="1" x14ac:dyDescent="0.2">
      <c r="A46" s="10">
        <v>10</v>
      </c>
      <c r="B46" s="11">
        <v>10</v>
      </c>
      <c r="C46" s="12">
        <f t="shared" si="0"/>
        <v>6.3510941960038064E-2</v>
      </c>
      <c r="D46" s="12">
        <f t="shared" si="0"/>
        <v>1.1363636363636364E-2</v>
      </c>
      <c r="E46" s="12">
        <f t="shared" si="0"/>
        <v>-4.7217010631644775E-2</v>
      </c>
      <c r="F46" s="12">
        <f t="shared" si="0"/>
        <v>1.6806722689075631E-3</v>
      </c>
      <c r="G46" s="12">
        <f t="shared" si="0"/>
        <v>-3.6172695449241538E-2</v>
      </c>
      <c r="H46" s="12">
        <f t="shared" si="0"/>
        <v>-0.13362445414847163</v>
      </c>
      <c r="I46" s="12">
        <f t="shared" si="0"/>
        <v>-2.5861761665419012E-2</v>
      </c>
      <c r="J46" s="16">
        <f t="shared" si="1"/>
        <v>5.5607965398163373E-4</v>
      </c>
      <c r="K46" s="16">
        <f t="shared" si="1"/>
        <v>5.6467663830961357E-4</v>
      </c>
      <c r="L46" s="16">
        <f t="shared" si="1"/>
        <v>5.7868538735417197E-4</v>
      </c>
      <c r="M46" s="16">
        <f t="shared" si="1"/>
        <v>7.4601481562064365E-4</v>
      </c>
    </row>
    <row r="47" spans="1:13" ht="15.75" customHeight="1" x14ac:dyDescent="0.2">
      <c r="A47" s="10">
        <v>11</v>
      </c>
      <c r="B47" s="11">
        <v>10</v>
      </c>
      <c r="C47" s="12">
        <f t="shared" ref="C47:I56" si="2">(C12-C13)/C13</f>
        <v>0.10894223160116065</v>
      </c>
      <c r="D47" s="12">
        <f t="shared" si="2"/>
        <v>-5.7142857142857141E-2</v>
      </c>
      <c r="E47" s="12">
        <f t="shared" si="2"/>
        <v>-0.11754966887417219</v>
      </c>
      <c r="F47" s="12">
        <f t="shared" si="2"/>
        <v>-3.8772213247172858E-2</v>
      </c>
      <c r="G47" s="12">
        <f t="shared" si="2"/>
        <v>1.4201183431952662E-2</v>
      </c>
      <c r="H47" s="12">
        <f t="shared" si="2"/>
        <v>-1.2931034482758621E-2</v>
      </c>
      <c r="I47" s="12">
        <f t="shared" si="2"/>
        <v>-2.7732369064054199E-2</v>
      </c>
      <c r="J47" s="16">
        <f t="shared" si="1"/>
        <v>5.5607965398163373E-4</v>
      </c>
      <c r="K47" s="16">
        <f t="shared" si="1"/>
        <v>5.6486348744155812E-4</v>
      </c>
      <c r="L47" s="16">
        <f t="shared" si="1"/>
        <v>5.7905881710307305E-4</v>
      </c>
      <c r="M47" s="16">
        <f t="shared" si="1"/>
        <v>7.3916377002136713E-4</v>
      </c>
    </row>
    <row r="48" spans="1:13" ht="15.75" customHeight="1" x14ac:dyDescent="0.2">
      <c r="A48" s="10">
        <v>12</v>
      </c>
      <c r="B48" s="11">
        <v>10</v>
      </c>
      <c r="C48" s="12">
        <f t="shared" si="2"/>
        <v>-8.3303107242171437E-2</v>
      </c>
      <c r="D48" s="12">
        <f t="shared" si="2"/>
        <v>-5.4054054054054057E-2</v>
      </c>
      <c r="E48" s="12">
        <f t="shared" si="2"/>
        <v>2.4896265560165973E-3</v>
      </c>
      <c r="F48" s="12">
        <f t="shared" si="2"/>
        <v>-3.5825545171339561E-2</v>
      </c>
      <c r="G48" s="12">
        <f t="shared" si="2"/>
        <v>3.048780487804878E-2</v>
      </c>
      <c r="H48" s="12">
        <f t="shared" si="2"/>
        <v>-5.6910569105691054E-2</v>
      </c>
      <c r="I48" s="12">
        <f t="shared" si="2"/>
        <v>-9.3616777774598158E-3</v>
      </c>
      <c r="J48" s="16">
        <f t="shared" si="1"/>
        <v>5.4841394792792819E-4</v>
      </c>
      <c r="K48" s="16">
        <f t="shared" si="1"/>
        <v>5.5757505232878479E-4</v>
      </c>
      <c r="L48" s="16">
        <f t="shared" si="1"/>
        <v>5.7196243614754394E-4</v>
      </c>
      <c r="M48" s="16">
        <f t="shared" si="1"/>
        <v>7.3156927591488952E-4</v>
      </c>
    </row>
    <row r="49" spans="1:13" ht="15.75" customHeight="1" x14ac:dyDescent="0.2">
      <c r="A49" s="10">
        <v>13</v>
      </c>
      <c r="B49" s="11">
        <v>10</v>
      </c>
      <c r="C49" s="12">
        <f t="shared" si="2"/>
        <v>2.8987310276188106E-2</v>
      </c>
      <c r="D49" s="12">
        <f t="shared" si="2"/>
        <v>7.0524412296564198E-2</v>
      </c>
      <c r="E49" s="12">
        <f t="shared" si="2"/>
        <v>8.104066985645933E-2</v>
      </c>
      <c r="F49" s="12">
        <f t="shared" si="2"/>
        <v>4.0518638573743923E-2</v>
      </c>
      <c r="G49" s="12">
        <f t="shared" si="2"/>
        <v>6.4935064935064929E-2</v>
      </c>
      <c r="H49" s="12">
        <f t="shared" si="2"/>
        <v>0.23</v>
      </c>
      <c r="I49" s="12">
        <f t="shared" si="2"/>
        <v>6.1811133659817004E-2</v>
      </c>
      <c r="J49" s="16">
        <f t="shared" si="1"/>
        <v>5.4467349192055536E-4</v>
      </c>
      <c r="K49" s="16">
        <f t="shared" si="1"/>
        <v>5.5383634271954918E-4</v>
      </c>
      <c r="L49" s="16">
        <f t="shared" si="1"/>
        <v>5.6710553823324794E-4</v>
      </c>
      <c r="M49" s="16">
        <f t="shared" si="1"/>
        <v>7.2749296943608321E-4</v>
      </c>
    </row>
    <row r="50" spans="1:13" ht="15.75" customHeight="1" x14ac:dyDescent="0.2">
      <c r="A50" s="10">
        <v>14</v>
      </c>
      <c r="B50" s="11">
        <v>10</v>
      </c>
      <c r="C50" s="12">
        <f t="shared" si="2"/>
        <v>-4.2068883327374566E-2</v>
      </c>
      <c r="D50" s="12">
        <f t="shared" si="2"/>
        <v>-3.1523642732049037E-2</v>
      </c>
      <c r="E50" s="12">
        <f t="shared" si="2"/>
        <v>-9.4786729857819912E-3</v>
      </c>
      <c r="F50" s="12">
        <f t="shared" si="2"/>
        <v>0.47466539196940727</v>
      </c>
      <c r="G50" s="12">
        <f t="shared" si="2"/>
        <v>-1.1553273427471117E-2</v>
      </c>
      <c r="H50" s="12">
        <f t="shared" si="2"/>
        <v>1.0101010101010102E-2</v>
      </c>
      <c r="I50" s="12">
        <f t="shared" si="2"/>
        <v>-8.9600770759319017E-3</v>
      </c>
      <c r="J50" s="16">
        <f t="shared" si="1"/>
        <v>5.413064716595084E-4</v>
      </c>
      <c r="K50" s="16">
        <f t="shared" si="1"/>
        <v>5.5140579935009093E-4</v>
      </c>
      <c r="L50" s="16">
        <f t="shared" si="1"/>
        <v>5.6430293470666193E-4</v>
      </c>
      <c r="M50" s="16">
        <f t="shared" si="1"/>
        <v>7.156298060861932E-4</v>
      </c>
    </row>
    <row r="51" spans="1:13" ht="15.75" customHeight="1" x14ac:dyDescent="0.2">
      <c r="A51" s="10">
        <v>15</v>
      </c>
      <c r="B51" s="11">
        <v>9</v>
      </c>
      <c r="C51" s="12">
        <f t="shared" si="2"/>
        <v>-5.3468697123519461E-2</v>
      </c>
      <c r="D51" s="12">
        <f t="shared" si="2"/>
        <v>-2.3931623931623933E-2</v>
      </c>
      <c r="E51" s="12">
        <f t="shared" si="2"/>
        <v>0.2065761258041458</v>
      </c>
      <c r="F51" s="12">
        <f t="shared" si="2"/>
        <v>0</v>
      </c>
      <c r="G51" s="12">
        <f t="shared" si="2"/>
        <v>-8.9058524173027988E-3</v>
      </c>
      <c r="H51" s="12">
        <f t="shared" si="2"/>
        <v>-2.6548672566371681E-2</v>
      </c>
      <c r="I51" s="12">
        <f t="shared" si="2"/>
        <v>1.2540545754905613E-3</v>
      </c>
      <c r="J51" s="16">
        <f t="shared" si="1"/>
        <v>5.3831307956220265E-4</v>
      </c>
      <c r="K51" s="16">
        <f t="shared" si="1"/>
        <v>5.4691785110194679E-4</v>
      </c>
      <c r="L51" s="16">
        <f t="shared" si="1"/>
        <v>5.5981793615256237E-4</v>
      </c>
      <c r="M51" s="16">
        <f t="shared" si="1"/>
        <v>7.0988100688729183E-4</v>
      </c>
    </row>
    <row r="52" spans="1:13" ht="15.75" customHeight="1" x14ac:dyDescent="0.2">
      <c r="A52" s="10">
        <v>16</v>
      </c>
      <c r="B52" s="11">
        <v>9</v>
      </c>
      <c r="C52" s="12">
        <f t="shared" si="2"/>
        <v>1.3838060384263495E-2</v>
      </c>
      <c r="D52" s="12">
        <f t="shared" si="2"/>
        <v>-2.5000000000000001E-2</v>
      </c>
      <c r="E52" s="12">
        <f t="shared" si="2"/>
        <v>-3.7164487267721952E-2</v>
      </c>
      <c r="F52" s="12">
        <f t="shared" si="2"/>
        <v>-4.2562929061784896E-2</v>
      </c>
      <c r="G52" s="12">
        <f t="shared" si="2"/>
        <v>-5.0632911392405064E-3</v>
      </c>
      <c r="H52" s="12">
        <f t="shared" si="2"/>
        <v>-3.6018957345971561E-2</v>
      </c>
      <c r="I52" s="12">
        <f t="shared" si="2"/>
        <v>-5.1821551527656759E-3</v>
      </c>
      <c r="J52" s="16">
        <f t="shared" si="1"/>
        <v>5.3475783312562086E-4</v>
      </c>
      <c r="K52" s="16">
        <f t="shared" si="1"/>
        <v>5.4336416381750574E-4</v>
      </c>
      <c r="L52" s="16">
        <f t="shared" si="1"/>
        <v>5.5682736740325645E-4</v>
      </c>
      <c r="M52" s="16">
        <f t="shared" si="1"/>
        <v>6.9967737759424331E-4</v>
      </c>
    </row>
    <row r="53" spans="1:13" ht="15.75" customHeight="1" x14ac:dyDescent="0.2">
      <c r="A53" s="10">
        <v>17</v>
      </c>
      <c r="B53" s="11">
        <v>9</v>
      </c>
      <c r="C53" s="12">
        <f t="shared" si="2"/>
        <v>-1.7417687380604563E-2</v>
      </c>
      <c r="D53" s="12">
        <f t="shared" si="2"/>
        <v>4.1666666666666664E-2</v>
      </c>
      <c r="E53" s="12">
        <f t="shared" si="2"/>
        <v>3.4531861872552506E-2</v>
      </c>
      <c r="F53" s="12">
        <f t="shared" si="2"/>
        <v>-2.5206335043497657E-2</v>
      </c>
      <c r="G53" s="12">
        <f t="shared" si="2"/>
        <v>5.3333333333333337E-2</v>
      </c>
      <c r="H53" s="12">
        <f t="shared" si="2"/>
        <v>5.5E-2</v>
      </c>
      <c r="I53" s="12">
        <f t="shared" si="2"/>
        <v>1.739683377625054E-4</v>
      </c>
      <c r="J53" s="16">
        <f t="shared" si="1"/>
        <v>5.3326069448633717E-4</v>
      </c>
      <c r="K53" s="16">
        <f t="shared" si="1"/>
        <v>5.42054748324583E-4</v>
      </c>
      <c r="L53" s="16">
        <f t="shared" si="1"/>
        <v>5.5589272117351207E-4</v>
      </c>
      <c r="M53" s="16">
        <f t="shared" si="1"/>
        <v>6.9800718750978596E-4</v>
      </c>
    </row>
    <row r="54" spans="1:13" ht="15.75" customHeight="1" x14ac:dyDescent="0.2">
      <c r="A54" s="10">
        <v>18</v>
      </c>
      <c r="B54" s="11">
        <v>9</v>
      </c>
      <c r="C54" s="12">
        <f t="shared" si="2"/>
        <v>1.7726440988106131E-2</v>
      </c>
      <c r="D54" s="12">
        <f t="shared" si="2"/>
        <v>4.7272727272727272E-2</v>
      </c>
      <c r="E54" s="12">
        <f t="shared" si="2"/>
        <v>-4.0314314998291766E-2</v>
      </c>
      <c r="F54" s="12">
        <f t="shared" si="2"/>
        <v>-1.6022827041264266E-2</v>
      </c>
      <c r="G54" s="12">
        <f t="shared" si="2"/>
        <v>-3.8461538461538464E-2</v>
      </c>
      <c r="H54" s="12">
        <f t="shared" si="2"/>
        <v>-4.3062200956937802E-2</v>
      </c>
      <c r="I54" s="12">
        <f t="shared" si="2"/>
        <v>-9.0595110004101798E-3</v>
      </c>
      <c r="J54" s="16">
        <f t="shared" si="1"/>
        <v>5.3101477228367777E-4</v>
      </c>
      <c r="K54" s="16">
        <f t="shared" si="1"/>
        <v>5.4018400314581605E-4</v>
      </c>
      <c r="L54" s="16">
        <f t="shared" si="1"/>
        <v>5.5421024574386912E-4</v>
      </c>
      <c r="M54" s="16">
        <f t="shared" si="1"/>
        <v>6.9225322211496909E-4</v>
      </c>
    </row>
    <row r="55" spans="1:13" ht="15.75" customHeight="1" x14ac:dyDescent="0.2">
      <c r="A55" s="10">
        <v>19</v>
      </c>
      <c r="B55" s="11">
        <v>8</v>
      </c>
      <c r="C55" s="12">
        <f t="shared" si="2"/>
        <v>2.6291079812206571E-2</v>
      </c>
      <c r="D55" s="12">
        <f t="shared" si="2"/>
        <v>5.7692307692307696E-2</v>
      </c>
      <c r="E55" s="12">
        <f t="shared" si="2"/>
        <v>0.18071803146430013</v>
      </c>
      <c r="F55" s="12">
        <f t="shared" si="2"/>
        <v>6.2004662004662002E-2</v>
      </c>
      <c r="G55" s="12">
        <f t="shared" si="2"/>
        <v>0.10953058321479374</v>
      </c>
      <c r="H55" s="12">
        <f t="shared" si="2"/>
        <v>6.5239551478083593E-2</v>
      </c>
      <c r="I55" s="12">
        <f t="shared" si="2"/>
        <v>2.232796708539202E-2</v>
      </c>
      <c r="J55" s="16">
        <f t="shared" si="1"/>
        <v>5.2783260896616113E-4</v>
      </c>
      <c r="K55" s="16">
        <f t="shared" si="1"/>
        <v>5.3700332688455532E-4</v>
      </c>
      <c r="L55" s="16">
        <f t="shared" si="1"/>
        <v>5.4729188600477485E-4</v>
      </c>
      <c r="M55" s="16">
        <f t="shared" si="1"/>
        <v>6.9689364846658997E-4</v>
      </c>
    </row>
    <row r="56" spans="1:13" ht="15.75" customHeight="1" x14ac:dyDescent="0.2">
      <c r="A56" s="10">
        <v>20</v>
      </c>
      <c r="B56" s="11">
        <v>8</v>
      </c>
      <c r="C56" s="12">
        <f t="shared" si="2"/>
        <v>-2.3719491234101067E-2</v>
      </c>
      <c r="D56" s="12">
        <f t="shared" si="2"/>
        <v>-7.1428571428571425E-2</v>
      </c>
      <c r="E56" s="12">
        <f t="shared" si="2"/>
        <v>-2.2090729783037475E-2</v>
      </c>
      <c r="F56" s="12">
        <f t="shared" si="2"/>
        <v>4.6838407494145199E-3</v>
      </c>
      <c r="G56" s="12">
        <f t="shared" si="2"/>
        <v>-2.8368794326241137E-3</v>
      </c>
      <c r="H56" s="12">
        <f t="shared" si="2"/>
        <v>4.3617021276595745E-2</v>
      </c>
      <c r="I56" s="12">
        <f t="shared" si="2"/>
        <v>9.4907975460122862E-3</v>
      </c>
      <c r="J56" s="16">
        <f t="shared" si="1"/>
        <v>5.100404236317857E-4</v>
      </c>
      <c r="K56" s="16">
        <f t="shared" si="1"/>
        <v>5.197813028994247E-4</v>
      </c>
      <c r="L56" s="16">
        <f t="shared" si="1"/>
        <v>5.2933016188316806E-4</v>
      </c>
      <c r="M56" s="16">
        <f t="shared" si="1"/>
        <v>6.9373827795349285E-4</v>
      </c>
    </row>
    <row r="57" spans="1:13" ht="15.75" customHeight="1" x14ac:dyDescent="0.2">
      <c r="A57" s="10">
        <v>21</v>
      </c>
      <c r="B57" s="11">
        <v>8</v>
      </c>
      <c r="C57" s="12">
        <f t="shared" ref="C57:I66" si="3">(C22-C23)/C23</f>
        <v>-3.9722711267605633E-2</v>
      </c>
      <c r="D57" s="12">
        <f t="shared" si="3"/>
        <v>0</v>
      </c>
      <c r="E57" s="12">
        <f t="shared" si="3"/>
        <v>2.9650690495532088E-2</v>
      </c>
      <c r="F57" s="12">
        <f t="shared" si="3"/>
        <v>4.2226019038320725E-2</v>
      </c>
      <c r="G57" s="12">
        <f t="shared" si="3"/>
        <v>-2.0833333333333332E-2</v>
      </c>
      <c r="H57" s="12">
        <f t="shared" si="3"/>
        <v>-1.0526315789473684E-2</v>
      </c>
      <c r="I57" s="12">
        <f t="shared" si="3"/>
        <v>2.842360957758917E-2</v>
      </c>
      <c r="J57" s="16">
        <f t="shared" si="1"/>
        <v>5.0010724019067254E-4</v>
      </c>
      <c r="K57" s="16">
        <f t="shared" si="1"/>
        <v>5.09853051621878E-4</v>
      </c>
      <c r="L57" s="16">
        <f t="shared" si="1"/>
        <v>5.201558555298913E-4</v>
      </c>
      <c r="M57" s="16">
        <f t="shared" si="1"/>
        <v>6.7293726104433738E-4</v>
      </c>
    </row>
    <row r="58" spans="1:13" ht="15.75" customHeight="1" x14ac:dyDescent="0.2">
      <c r="A58" s="10">
        <v>22</v>
      </c>
      <c r="B58" s="11">
        <v>8</v>
      </c>
      <c r="C58" s="12">
        <f t="shared" si="3"/>
        <v>-1.3139320230209578E-2</v>
      </c>
      <c r="D58" s="12">
        <f t="shared" si="3"/>
        <v>0.11332007952286283</v>
      </c>
      <c r="E58" s="12">
        <f t="shared" si="3"/>
        <v>6.9504778453518684E-2</v>
      </c>
      <c r="F58" s="12">
        <f t="shared" si="3"/>
        <v>2.4762381190595296E-2</v>
      </c>
      <c r="G58" s="12">
        <f t="shared" si="3"/>
        <v>0.10429447852760736</v>
      </c>
      <c r="H58" s="12">
        <f t="shared" si="3"/>
        <v>5.5555555555555552E-2</v>
      </c>
      <c r="I58" s="12">
        <f t="shared" si="3"/>
        <v>6.0018325185091065E-2</v>
      </c>
      <c r="J58" s="16">
        <f t="shared" si="1"/>
        <v>4.8379091370809313E-4</v>
      </c>
      <c r="K58" s="16">
        <f t="shared" si="1"/>
        <v>4.9410741040856188E-4</v>
      </c>
      <c r="L58" s="16">
        <f t="shared" si="1"/>
        <v>5.0891616472714674E-4</v>
      </c>
      <c r="M58" s="16">
        <f t="shared" si="1"/>
        <v>6.6029730504291173E-4</v>
      </c>
    </row>
    <row r="59" spans="1:13" ht="15.75" customHeight="1" x14ac:dyDescent="0.2">
      <c r="A59" s="10">
        <v>23</v>
      </c>
      <c r="B59" s="11">
        <v>8</v>
      </c>
      <c r="C59" s="12">
        <f t="shared" si="3"/>
        <v>-3.3378818095937859E-2</v>
      </c>
      <c r="D59" s="12">
        <f t="shared" si="3"/>
        <v>-3.4548944337811902E-2</v>
      </c>
      <c r="E59" s="12">
        <f t="shared" si="3"/>
        <v>-2.3748939779474131E-2</v>
      </c>
      <c r="F59" s="12">
        <f t="shared" si="3"/>
        <v>-3.0552861299709022E-2</v>
      </c>
      <c r="G59" s="12">
        <f t="shared" si="3"/>
        <v>-6.9900142653352357E-2</v>
      </c>
      <c r="H59" s="12">
        <f t="shared" si="3"/>
        <v>-2.1739130434782608E-2</v>
      </c>
      <c r="I59" s="12">
        <f t="shared" si="3"/>
        <v>-2.3459797665776303E-2</v>
      </c>
      <c r="J59" s="16">
        <f t="shared" si="1"/>
        <v>4.7290581852932334E-4</v>
      </c>
      <c r="K59" s="16">
        <f t="shared" si="1"/>
        <v>4.830404113651543E-4</v>
      </c>
      <c r="L59" s="16">
        <f t="shared" si="1"/>
        <v>4.965450625709078E-4</v>
      </c>
      <c r="M59" s="16">
        <f t="shared" si="1"/>
        <v>6.5471826417029533E-4</v>
      </c>
    </row>
    <row r="60" spans="1:13" ht="15.75" customHeight="1" x14ac:dyDescent="0.2">
      <c r="A60" s="10">
        <v>24</v>
      </c>
      <c r="B60" s="11">
        <v>7</v>
      </c>
      <c r="C60" s="12">
        <f t="shared" si="3"/>
        <v>-0.11393229166666667</v>
      </c>
      <c r="D60" s="12">
        <f t="shared" si="3"/>
        <v>5.7915057915057912E-3</v>
      </c>
      <c r="E60" s="12">
        <f t="shared" si="3"/>
        <v>6.9387755102040816E-2</v>
      </c>
      <c r="F60" s="12">
        <f t="shared" si="3"/>
        <v>-1.6945049624788188E-3</v>
      </c>
      <c r="G60" s="12">
        <f t="shared" si="3"/>
        <v>0.11181601903251388</v>
      </c>
      <c r="H60" s="12">
        <f t="shared" si="3"/>
        <v>-2.2316684378320937E-2</v>
      </c>
      <c r="I60" s="12">
        <f t="shared" si="3"/>
        <v>2.2607661893567093E-2</v>
      </c>
      <c r="J60" s="16">
        <f t="shared" si="1"/>
        <v>4.6708544506279814E-4</v>
      </c>
      <c r="K60" s="16">
        <f t="shared" si="1"/>
        <v>4.747829900357825E-4</v>
      </c>
      <c r="L60" s="16">
        <f t="shared" si="1"/>
        <v>4.8904362632584686E-4</v>
      </c>
      <c r="M60" s="16">
        <f t="shared" si="1"/>
        <v>6.495097277068318E-4</v>
      </c>
    </row>
    <row r="61" spans="1:13" ht="15.75" customHeight="1" x14ac:dyDescent="0.2">
      <c r="A61" s="10">
        <v>25</v>
      </c>
      <c r="B61" s="11">
        <v>7</v>
      </c>
      <c r="C61" s="12">
        <f t="shared" si="3"/>
        <v>-4.7209108580949736E-3</v>
      </c>
      <c r="D61" s="12">
        <f t="shared" si="3"/>
        <v>-3.8461538461538464E-3</v>
      </c>
      <c r="E61" s="12">
        <f t="shared" si="3"/>
        <v>7.2470817120622574E-2</v>
      </c>
      <c r="F61" s="12">
        <f t="shared" si="3"/>
        <v>1.3245033112582781E-2</v>
      </c>
      <c r="G61" s="12">
        <f t="shared" si="3"/>
        <v>4.1288191577208921E-2</v>
      </c>
      <c r="H61" s="12">
        <f t="shared" si="3"/>
        <v>9.4186046511627902E-2</v>
      </c>
      <c r="I61" s="12">
        <f t="shared" si="3"/>
        <v>2.7110086708374479E-2</v>
      </c>
      <c r="J61" s="16">
        <f t="shared" si="1"/>
        <v>4.5863344179508658E-4</v>
      </c>
      <c r="K61" s="16">
        <f t="shared" si="1"/>
        <v>4.6464412925462106E-4</v>
      </c>
      <c r="L61" s="16">
        <f t="shared" si="1"/>
        <v>4.7778609087179014E-4</v>
      </c>
      <c r="M61" s="16">
        <f t="shared" si="1"/>
        <v>6.4281100564178573E-4</v>
      </c>
    </row>
    <row r="62" spans="1:13" ht="15.75" customHeight="1" x14ac:dyDescent="0.2">
      <c r="A62" s="10">
        <v>26</v>
      </c>
      <c r="B62" s="11">
        <v>7</v>
      </c>
      <c r="C62" s="12">
        <f t="shared" si="3"/>
        <v>3.3483210561561276E-2</v>
      </c>
      <c r="D62" s="12">
        <f t="shared" si="3"/>
        <v>0.11827956989247312</v>
      </c>
      <c r="E62" s="12">
        <f t="shared" si="3"/>
        <v>0.1447661469933185</v>
      </c>
      <c r="F62" s="12">
        <f t="shared" si="3"/>
        <v>6.0338101430429128E-2</v>
      </c>
      <c r="G62" s="12">
        <f t="shared" si="3"/>
        <v>2.4014882462371046E-2</v>
      </c>
      <c r="H62" s="12">
        <f t="shared" si="3"/>
        <v>0.127129750982962</v>
      </c>
      <c r="I62" s="12">
        <f t="shared" si="3"/>
        <v>5.1039315918873486E-2</v>
      </c>
      <c r="J62" s="16">
        <f t="shared" si="1"/>
        <v>4.578819763516595E-4</v>
      </c>
      <c r="K62" s="16">
        <f t="shared" si="1"/>
        <v>4.687754088168461E-4</v>
      </c>
      <c r="L62" s="16">
        <f t="shared" si="1"/>
        <v>4.843537716237023E-4</v>
      </c>
      <c r="M62" s="16">
        <f t="shared" si="1"/>
        <v>6.3424819788049369E-4</v>
      </c>
    </row>
    <row r="63" spans="1:13" ht="15.75" customHeight="1" x14ac:dyDescent="0.2">
      <c r="A63" s="10">
        <v>27</v>
      </c>
      <c r="B63" s="11">
        <v>7</v>
      </c>
      <c r="C63" s="12">
        <f t="shared" si="3"/>
        <v>4.4255744255744259E-2</v>
      </c>
      <c r="D63" s="12">
        <f t="shared" si="3"/>
        <v>1.7505470459518599E-2</v>
      </c>
      <c r="E63" s="12">
        <f t="shared" si="3"/>
        <v>5.0906963136337038E-2</v>
      </c>
      <c r="F63" s="12">
        <f t="shared" si="3"/>
        <v>2.67022696929239E-2</v>
      </c>
      <c r="G63" s="12">
        <f t="shared" si="3"/>
        <v>7.6687116564417178E-3</v>
      </c>
      <c r="H63" s="12">
        <f t="shared" si="3"/>
        <v>3.9473684210526317E-3</v>
      </c>
      <c r="I63" s="12">
        <f t="shared" si="3"/>
        <v>1.1323863967800248E-2</v>
      </c>
      <c r="J63" s="16">
        <f t="shared" si="1"/>
        <v>4.4247058749369295E-4</v>
      </c>
      <c r="K63" s="16">
        <f t="shared" si="1"/>
        <v>4.5168128780970207E-4</v>
      </c>
      <c r="L63" s="16">
        <f t="shared" si="1"/>
        <v>4.6652209145747747E-4</v>
      </c>
      <c r="M63" s="16">
        <f t="shared" si="1"/>
        <v>6.327586323737755E-4</v>
      </c>
    </row>
    <row r="64" spans="1:13" ht="15.75" customHeight="1" x14ac:dyDescent="0.2">
      <c r="A64" s="10">
        <v>28</v>
      </c>
      <c r="B64" s="11">
        <v>6</v>
      </c>
      <c r="C64" s="12">
        <f t="shared" si="3"/>
        <v>1.0396689209649743E-2</v>
      </c>
      <c r="D64" s="12">
        <f t="shared" si="3"/>
        <v>0.11735941320293398</v>
      </c>
      <c r="E64" s="12">
        <f t="shared" si="3"/>
        <v>2.7043269230769232E-2</v>
      </c>
      <c r="F64" s="12">
        <f t="shared" si="3"/>
        <v>-3.7243947858472998E-3</v>
      </c>
      <c r="G64" s="12">
        <f t="shared" si="3"/>
        <v>2.6592022393282014E-2</v>
      </c>
      <c r="H64" s="12">
        <f t="shared" si="3"/>
        <v>5.9972105997210597E-2</v>
      </c>
      <c r="I64" s="12">
        <f t="shared" si="3"/>
        <v>1.6370845221773556E-2</v>
      </c>
      <c r="J64" s="16">
        <f t="shared" si="1"/>
        <v>4.4096638892021645E-4</v>
      </c>
      <c r="K64" s="16">
        <f t="shared" si="1"/>
        <v>4.4867418769500844E-4</v>
      </c>
      <c r="L64" s="16">
        <f t="shared" si="1"/>
        <v>4.6163901573681443E-4</v>
      </c>
      <c r="M64" s="16">
        <f t="shared" si="1"/>
        <v>6.28847984783798E-4</v>
      </c>
    </row>
    <row r="65" spans="1:13" ht="15.75" customHeight="1" x14ac:dyDescent="0.2">
      <c r="A65" s="10">
        <v>29</v>
      </c>
      <c r="B65" s="11">
        <v>6</v>
      </c>
      <c r="C65" s="12">
        <f t="shared" si="3"/>
        <v>6.0932263633593992E-3</v>
      </c>
      <c r="D65" s="12">
        <f t="shared" si="3"/>
        <v>2.2499999999999999E-2</v>
      </c>
      <c r="E65" s="12">
        <f t="shared" si="3"/>
        <v>3.6760124610591902E-2</v>
      </c>
      <c r="F65" s="12">
        <f t="shared" si="3"/>
        <v>1.0755579456843238E-2</v>
      </c>
      <c r="G65" s="12">
        <f t="shared" si="3"/>
        <v>1.4194464158977998E-2</v>
      </c>
      <c r="H65" s="12">
        <f t="shared" si="3"/>
        <v>2.4285714285714285E-2</v>
      </c>
      <c r="I65" s="12">
        <f t="shared" si="3"/>
        <v>2.5739458300709166E-2</v>
      </c>
      <c r="J65" s="16">
        <f t="shared" si="1"/>
        <v>4.4040228471731169E-4</v>
      </c>
      <c r="K65" s="16">
        <f t="shared" si="1"/>
        <v>4.4829826776671133E-4</v>
      </c>
      <c r="L65" s="16">
        <f t="shared" si="1"/>
        <v>4.5994843705754462E-4</v>
      </c>
      <c r="M65" s="16">
        <f t="shared" si="1"/>
        <v>6.2586792049956763E-4</v>
      </c>
    </row>
    <row r="66" spans="1:13" ht="15.75" customHeight="1" x14ac:dyDescent="0.2">
      <c r="A66" s="10">
        <v>30</v>
      </c>
      <c r="B66" s="11">
        <v>6</v>
      </c>
      <c r="C66" s="12">
        <f t="shared" si="3"/>
        <v>1.0363225938846707E-2</v>
      </c>
      <c r="D66" s="12">
        <f t="shared" si="3"/>
        <v>1.3684744044602128E-2</v>
      </c>
      <c r="E66" s="12">
        <f t="shared" si="3"/>
        <v>-1.9547953573610371E-2</v>
      </c>
      <c r="F66" s="12">
        <f t="shared" si="3"/>
        <v>-5.3490238031559242E-3</v>
      </c>
      <c r="G66" s="12">
        <f t="shared" si="3"/>
        <v>4.4670991658943469E-2</v>
      </c>
      <c r="H66" s="12">
        <f t="shared" si="3"/>
        <v>-8.8541666666666671E-2</v>
      </c>
      <c r="I66" s="12">
        <f t="shared" si="3"/>
        <v>-1.0827963215002812E-2</v>
      </c>
      <c r="J66" s="16">
        <f t="shared" si="1"/>
        <v>4.3344366542741319E-4</v>
      </c>
      <c r="K66" s="16">
        <f t="shared" si="1"/>
        <v>4.4134244937721334E-4</v>
      </c>
      <c r="L66" s="16">
        <f t="shared" si="1"/>
        <v>4.5243299081776378E-4</v>
      </c>
      <c r="M66" s="16">
        <f t="shared" si="1"/>
        <v>6.1897478771255621E-4</v>
      </c>
    </row>
    <row r="67" spans="1:13" ht="15.75" customHeight="1" x14ac:dyDescent="0.2"/>
    <row r="68" spans="1:13" ht="23" customHeight="1" x14ac:dyDescent="0.2">
      <c r="B68" s="26"/>
      <c r="C68" s="29" t="s">
        <v>30</v>
      </c>
      <c r="D68" s="29"/>
      <c r="E68" s="29"/>
      <c r="F68" s="29"/>
      <c r="G68" s="29"/>
      <c r="H68" s="29"/>
      <c r="I68" s="32"/>
      <c r="J68" s="29" t="s">
        <v>42</v>
      </c>
      <c r="K68" s="29"/>
      <c r="L68" s="29"/>
      <c r="M68" s="29"/>
    </row>
    <row r="69" spans="1:13" ht="23" customHeight="1" x14ac:dyDescent="0.2">
      <c r="B69" s="9"/>
      <c r="C69" s="9" t="s">
        <v>0</v>
      </c>
      <c r="D69" s="9" t="s">
        <v>1</v>
      </c>
      <c r="E69" s="9" t="s">
        <v>2</v>
      </c>
      <c r="F69" s="9" t="s">
        <v>3</v>
      </c>
      <c r="G69" s="9" t="s">
        <v>4</v>
      </c>
      <c r="H69" s="9" t="s">
        <v>5</v>
      </c>
      <c r="I69" s="17" t="s">
        <v>6</v>
      </c>
      <c r="J69" s="9" t="s">
        <v>7</v>
      </c>
      <c r="K69" s="9" t="s">
        <v>8</v>
      </c>
      <c r="L69" s="9" t="s">
        <v>9</v>
      </c>
      <c r="M69" s="9" t="s">
        <v>10</v>
      </c>
    </row>
    <row r="70" spans="1:13" ht="28" customHeight="1" x14ac:dyDescent="0.2">
      <c r="B70" s="8" t="s">
        <v>31</v>
      </c>
      <c r="C70" s="24">
        <f t="shared" ref="C70:M70" si="4">AVERAGE(C37:C66)</f>
        <v>6.8562231714266618E-4</v>
      </c>
      <c r="D70" s="24">
        <f t="shared" si="4"/>
        <v>1.0902453543595609E-2</v>
      </c>
      <c r="E70" s="24">
        <f t="shared" si="4"/>
        <v>2.3000848341354137E-2</v>
      </c>
      <c r="F70" s="24">
        <f t="shared" si="4"/>
        <v>1.7572686738489055E-2</v>
      </c>
      <c r="G70" s="24">
        <f t="shared" si="4"/>
        <v>1.7805991271897654E-2</v>
      </c>
      <c r="H70" s="24">
        <f t="shared" si="4"/>
        <v>1.8919593576658754E-2</v>
      </c>
      <c r="I70" s="24">
        <f t="shared" si="4"/>
        <v>1.0197332266436545E-2</v>
      </c>
      <c r="J70" s="25">
        <f>AVERAGE(J37:J66)</f>
        <v>5.227287253554739E-4</v>
      </c>
      <c r="K70" s="25">
        <f t="shared" si="4"/>
        <v>5.3174514584597432E-4</v>
      </c>
      <c r="L70" s="25">
        <f t="shared" si="4"/>
        <v>5.446494249930526E-4</v>
      </c>
      <c r="M70" s="25">
        <f t="shared" si="4"/>
        <v>7.0661114235563238E-4</v>
      </c>
    </row>
    <row r="71" spans="1:13" ht="15.75" customHeight="1" x14ac:dyDescent="0.2"/>
    <row r="72" spans="1:13" ht="23" customHeight="1" x14ac:dyDescent="0.2">
      <c r="B72" s="29" t="s">
        <v>32</v>
      </c>
      <c r="C72" s="29"/>
      <c r="D72" s="29"/>
      <c r="E72" s="29"/>
      <c r="F72" s="29"/>
      <c r="G72" s="29"/>
      <c r="H72" s="29"/>
      <c r="I72" s="29"/>
      <c r="J72" s="18"/>
      <c r="K72" s="18"/>
      <c r="L72" s="18"/>
      <c r="M72" s="18"/>
    </row>
    <row r="73" spans="1:13" ht="23" customHeight="1" x14ac:dyDescent="0.2">
      <c r="B73" s="9"/>
      <c r="C73" s="9" t="s">
        <v>0</v>
      </c>
      <c r="D73" s="9" t="s">
        <v>1</v>
      </c>
      <c r="E73" s="9" t="s">
        <v>2</v>
      </c>
      <c r="F73" s="9" t="s">
        <v>3</v>
      </c>
      <c r="G73" s="9" t="s">
        <v>4</v>
      </c>
      <c r="H73" s="9" t="s">
        <v>5</v>
      </c>
      <c r="I73" s="9" t="s">
        <v>6</v>
      </c>
      <c r="J73" s="19"/>
      <c r="K73" s="19"/>
      <c r="L73" s="19"/>
      <c r="M73" s="19"/>
    </row>
    <row r="74" spans="1:13" ht="20" customHeight="1" x14ac:dyDescent="0.2">
      <c r="B74" s="8" t="s">
        <v>33</v>
      </c>
      <c r="C74" s="6">
        <f t="shared" ref="C74:I74" si="5">_xlfn.VAR.S(C37:C66)</f>
        <v>2.6504179666959862E-3</v>
      </c>
      <c r="D74" s="6">
        <f t="shared" si="5"/>
        <v>2.4453142497070611E-3</v>
      </c>
      <c r="E74" s="6">
        <f t="shared" si="5"/>
        <v>5.0644105622937065E-3</v>
      </c>
      <c r="F74" s="6">
        <f t="shared" si="5"/>
        <v>8.1861968787284179E-3</v>
      </c>
      <c r="G74" s="6">
        <f t="shared" si="5"/>
        <v>2.5381851116494086E-3</v>
      </c>
      <c r="H74" s="6">
        <f t="shared" si="5"/>
        <v>5.9876461023047924E-3</v>
      </c>
      <c r="I74" s="6">
        <f t="shared" si="5"/>
        <v>7.2428473707433121E-4</v>
      </c>
      <c r="M74" s="20"/>
    </row>
    <row r="75" spans="1:13" ht="21" customHeight="1" x14ac:dyDescent="0.2">
      <c r="B75" s="8" t="s">
        <v>34</v>
      </c>
      <c r="C75" s="6">
        <f>_xlfn.STDEV.S(C37:C66)</f>
        <v>5.1482210196299713E-2</v>
      </c>
      <c r="D75" s="6">
        <f t="shared" ref="D75:I75" si="6">_xlfn.STDEV.S(D37:D66)</f>
        <v>4.9450118803770947E-2</v>
      </c>
      <c r="E75" s="6">
        <f t="shared" si="6"/>
        <v>7.1164672150539038E-2</v>
      </c>
      <c r="F75" s="6">
        <f t="shared" si="6"/>
        <v>9.0477604293705841E-2</v>
      </c>
      <c r="G75" s="6">
        <f t="shared" si="6"/>
        <v>5.0380404044126213E-2</v>
      </c>
      <c r="H75" s="6">
        <f t="shared" si="6"/>
        <v>7.7379881767193154E-2</v>
      </c>
      <c r="I75" s="6">
        <f t="shared" si="6"/>
        <v>2.6912538659040162E-2</v>
      </c>
    </row>
    <row r="76" spans="1:13" ht="15.75" customHeight="1" x14ac:dyDescent="0.2"/>
    <row r="77" spans="1:13" ht="15.75" customHeight="1" x14ac:dyDescent="0.2"/>
    <row r="78" spans="1:13" ht="24" customHeight="1" thickBot="1" x14ac:dyDescent="0.25">
      <c r="B78" s="28" t="s">
        <v>36</v>
      </c>
      <c r="C78" s="28"/>
      <c r="D78" s="28"/>
      <c r="E78" s="28"/>
      <c r="F78" s="28"/>
      <c r="G78" s="28"/>
      <c r="H78" s="28"/>
      <c r="I78" s="28"/>
    </row>
    <row r="79" spans="1:13" ht="22" customHeight="1" x14ac:dyDescent="0.2">
      <c r="B79" s="13"/>
      <c r="C79" s="27" t="s">
        <v>0</v>
      </c>
      <c r="D79" s="27" t="s">
        <v>1</v>
      </c>
      <c r="E79" s="27" t="s">
        <v>2</v>
      </c>
      <c r="F79" s="27" t="s">
        <v>3</v>
      </c>
      <c r="G79" s="27" t="s">
        <v>4</v>
      </c>
      <c r="H79" s="27" t="s">
        <v>5</v>
      </c>
      <c r="I79" s="27" t="s">
        <v>6</v>
      </c>
    </row>
    <row r="80" spans="1:13" ht="20" customHeight="1" x14ac:dyDescent="0.2">
      <c r="B80" s="14" t="s">
        <v>0</v>
      </c>
      <c r="C80" s="14">
        <f>VARP(PriceData!$C$37:$C$66)</f>
        <v>2.5620707011394538E-3</v>
      </c>
      <c r="D80" s="14"/>
      <c r="E80" s="14"/>
      <c r="F80" s="14"/>
      <c r="G80" s="14"/>
      <c r="H80" s="14"/>
      <c r="I80" s="14"/>
    </row>
    <row r="81" spans="2:9" ht="19" customHeight="1" x14ac:dyDescent="0.2">
      <c r="B81" s="14" t="s">
        <v>1</v>
      </c>
      <c r="C81" s="14">
        <v>5.3699638587528103E-4</v>
      </c>
      <c r="D81" s="14">
        <f>VARP(PriceData!$D$37:$D$66)</f>
        <v>2.3638037747168257E-3</v>
      </c>
      <c r="E81" s="14"/>
      <c r="F81" s="14"/>
      <c r="G81" s="14"/>
      <c r="H81" s="14"/>
      <c r="I81" s="14"/>
    </row>
    <row r="82" spans="2:9" ht="20.5" customHeight="1" x14ac:dyDescent="0.2">
      <c r="B82" s="14" t="s">
        <v>2</v>
      </c>
      <c r="C82" s="14">
        <v>-7.9749299277539511E-4</v>
      </c>
      <c r="D82" s="14">
        <v>1.662661695483884E-3</v>
      </c>
      <c r="E82" s="14">
        <f>VARP(PriceData!$E$37:$E$66)</f>
        <v>4.8955968768839174E-3</v>
      </c>
      <c r="F82" s="14"/>
      <c r="G82" s="14"/>
      <c r="H82" s="14"/>
      <c r="I82" s="14"/>
    </row>
    <row r="83" spans="2:9" ht="19" customHeight="1" x14ac:dyDescent="0.2">
      <c r="B83" s="14" t="s">
        <v>3</v>
      </c>
      <c r="C83" s="14">
        <v>-4.1931961676463088E-4</v>
      </c>
      <c r="D83" s="14">
        <v>7.8704216387292102E-5</v>
      </c>
      <c r="E83" s="14">
        <v>7.4215541266721863E-4</v>
      </c>
      <c r="F83" s="14">
        <f>VARP(PriceData!$F$37:$F$66)</f>
        <v>7.9133236494374707E-3</v>
      </c>
      <c r="G83" s="14"/>
      <c r="H83" s="14"/>
      <c r="I83" s="14"/>
    </row>
    <row r="84" spans="2:9" ht="21" customHeight="1" x14ac:dyDescent="0.2">
      <c r="B84" s="14" t="s">
        <v>4</v>
      </c>
      <c r="C84" s="14">
        <v>1.475446751052404E-4</v>
      </c>
      <c r="D84" s="14">
        <v>1.1475423760470957E-3</v>
      </c>
      <c r="E84" s="14">
        <v>1.6897273039092585E-3</v>
      </c>
      <c r="F84" s="14">
        <v>9.7004848036056385E-5</v>
      </c>
      <c r="G84" s="14">
        <f>VARP(PriceData!$G$37:$G$66)</f>
        <v>2.4535789412610948E-3</v>
      </c>
      <c r="H84" s="14"/>
      <c r="I84" s="14"/>
    </row>
    <row r="85" spans="2:9" ht="22" customHeight="1" x14ac:dyDescent="0.2">
      <c r="B85" s="14" t="s">
        <v>5</v>
      </c>
      <c r="C85" s="14">
        <v>6.9825245381266638E-4</v>
      </c>
      <c r="D85" s="14">
        <v>1.6796514158621332E-3</v>
      </c>
      <c r="E85" s="14">
        <v>2.1379450743770471E-3</v>
      </c>
      <c r="F85" s="14">
        <v>8.7940965680878211E-4</v>
      </c>
      <c r="G85" s="14">
        <v>1.9280171850889788E-3</v>
      </c>
      <c r="H85" s="14">
        <f>VARP(PriceData!$H$37:$H$66)</f>
        <v>5.7880578988946342E-3</v>
      </c>
      <c r="I85" s="14"/>
    </row>
    <row r="86" spans="2:9" ht="20" customHeight="1" thickBot="1" x14ac:dyDescent="0.25">
      <c r="B86" s="15" t="s">
        <v>6</v>
      </c>
      <c r="C86" s="15">
        <v>1.1237317627002713E-4</v>
      </c>
      <c r="D86" s="15">
        <v>7.827714147588665E-4</v>
      </c>
      <c r="E86" s="15">
        <v>1.0123320976154022E-3</v>
      </c>
      <c r="F86" s="15">
        <v>1.8084595472812886E-4</v>
      </c>
      <c r="G86" s="15">
        <v>8.8993629425063192E-4</v>
      </c>
      <c r="H86" s="15">
        <v>1.6427708611740954E-3</v>
      </c>
      <c r="I86" s="15">
        <f>VARP(PriceData!$I$37:$I$66)</f>
        <v>7.001419125051868E-4</v>
      </c>
    </row>
    <row r="87" spans="2:9" ht="15.75" customHeight="1" x14ac:dyDescent="0.2"/>
    <row r="88" spans="2:9" ht="25" customHeight="1" thickBot="1" x14ac:dyDescent="0.25">
      <c r="B88" s="28" t="s">
        <v>35</v>
      </c>
      <c r="C88" s="28"/>
      <c r="D88" s="28"/>
      <c r="E88" s="28"/>
      <c r="F88" s="28"/>
      <c r="G88" s="28"/>
      <c r="H88" s="28"/>
      <c r="I88" s="28"/>
    </row>
    <row r="89" spans="2:9" ht="22" customHeight="1" x14ac:dyDescent="0.2">
      <c r="B89" s="27"/>
      <c r="C89" s="27" t="s">
        <v>0</v>
      </c>
      <c r="D89" s="27" t="s">
        <v>1</v>
      </c>
      <c r="E89" s="27" t="s">
        <v>2</v>
      </c>
      <c r="F89" s="27" t="s">
        <v>3</v>
      </c>
      <c r="G89" s="27" t="s">
        <v>4</v>
      </c>
      <c r="H89" s="27" t="s">
        <v>5</v>
      </c>
      <c r="I89" s="27" t="s">
        <v>6</v>
      </c>
    </row>
    <row r="90" spans="2:9" ht="17.5" customHeight="1" x14ac:dyDescent="0.2">
      <c r="B90" s="14" t="s">
        <v>0</v>
      </c>
      <c r="C90" s="14">
        <v>1</v>
      </c>
      <c r="D90" s="14"/>
      <c r="E90" s="14"/>
      <c r="F90" s="14"/>
      <c r="G90" s="14"/>
      <c r="H90" s="14"/>
      <c r="I90" s="14"/>
    </row>
    <row r="91" spans="2:9" ht="22" customHeight="1" x14ac:dyDescent="0.2">
      <c r="B91" s="14" t="s">
        <v>1</v>
      </c>
      <c r="C91" s="14">
        <v>0.21820771264447328</v>
      </c>
      <c r="D91" s="14">
        <v>1</v>
      </c>
      <c r="E91" s="14"/>
      <c r="F91" s="14"/>
      <c r="G91" s="14"/>
      <c r="H91" s="14"/>
      <c r="I91" s="14"/>
    </row>
    <row r="92" spans="2:9" ht="18.5" customHeight="1" x14ac:dyDescent="0.2">
      <c r="B92" s="14" t="s">
        <v>2</v>
      </c>
      <c r="C92" s="14">
        <v>-0.22517931632803737</v>
      </c>
      <c r="D92" s="14">
        <v>0.48875966239529084</v>
      </c>
      <c r="E92" s="14">
        <v>1</v>
      </c>
      <c r="F92" s="14"/>
      <c r="G92" s="14"/>
      <c r="H92" s="14"/>
      <c r="I92" s="14"/>
    </row>
    <row r="93" spans="2:9" ht="19.5" customHeight="1" x14ac:dyDescent="0.2">
      <c r="B93" s="14" t="s">
        <v>3</v>
      </c>
      <c r="C93" s="14">
        <v>-9.3125830955441968E-2</v>
      </c>
      <c r="D93" s="14">
        <v>1.8197545926834775E-2</v>
      </c>
      <c r="E93" s="14">
        <v>0.11923742000630989</v>
      </c>
      <c r="F93" s="14">
        <v>1</v>
      </c>
      <c r="G93" s="14"/>
      <c r="H93" s="14"/>
      <c r="I93" s="14"/>
    </row>
    <row r="94" spans="2:9" ht="20.5" customHeight="1" x14ac:dyDescent="0.2">
      <c r="B94" s="14" t="s">
        <v>4</v>
      </c>
      <c r="C94" s="14">
        <v>5.8847493232039215E-2</v>
      </c>
      <c r="D94" s="14">
        <v>0.47650010789931091</v>
      </c>
      <c r="E94" s="14">
        <v>0.48754395890146579</v>
      </c>
      <c r="F94" s="14">
        <v>2.2014760124132268E-2</v>
      </c>
      <c r="G94" s="14">
        <v>1</v>
      </c>
      <c r="H94" s="14"/>
      <c r="I94" s="14"/>
    </row>
    <row r="95" spans="2:9" ht="19" customHeight="1" x14ac:dyDescent="0.2">
      <c r="B95" s="14" t="s">
        <v>5</v>
      </c>
      <c r="C95" s="14">
        <v>0.18132199224693107</v>
      </c>
      <c r="D95" s="14">
        <v>0.45409530961365163</v>
      </c>
      <c r="E95" s="14">
        <v>0.40163105468207255</v>
      </c>
      <c r="F95" s="14">
        <v>0.12994073909971221</v>
      </c>
      <c r="G95" s="14">
        <v>0.51161639057987041</v>
      </c>
      <c r="H95" s="14">
        <v>1</v>
      </c>
      <c r="I95" s="14"/>
    </row>
    <row r="96" spans="2:9" ht="18.5" customHeight="1" thickBot="1" x14ac:dyDescent="0.25">
      <c r="B96" s="15" t="s">
        <v>6</v>
      </c>
      <c r="C96" s="15">
        <v>8.3902338057609563E-2</v>
      </c>
      <c r="D96" s="15">
        <v>0.60846584992785646</v>
      </c>
      <c r="E96" s="15">
        <v>0.54679828564293242</v>
      </c>
      <c r="F96" s="15">
        <v>7.6830966446548798E-2</v>
      </c>
      <c r="G96" s="15">
        <v>0.67899388480780043</v>
      </c>
      <c r="H96" s="15">
        <v>0.81605140949167398</v>
      </c>
      <c r="I96" s="15">
        <v>1</v>
      </c>
    </row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</sheetData>
  <mergeCells count="9">
    <mergeCell ref="B88:I88"/>
    <mergeCell ref="B35:B36"/>
    <mergeCell ref="J68:M68"/>
    <mergeCell ref="A35:A36"/>
    <mergeCell ref="B78:I78"/>
    <mergeCell ref="J35:M35"/>
    <mergeCell ref="C35:I35"/>
    <mergeCell ref="B72:I72"/>
    <mergeCell ref="C68:I68"/>
  </mergeCells>
  <dataValidations count="1">
    <dataValidation type="custom" allowBlank="1" showDropDown="1" sqref="A2:A32 C2:M32 A37:A66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Nam Khánh (31231024860)</dc:creator>
  <cp:lastModifiedBy>Lương Thiên Hoàng Trang (31231025422)</cp:lastModifiedBy>
  <dcterms:created xsi:type="dcterms:W3CDTF">2026-02-04T12:48:50Z</dcterms:created>
  <dcterms:modified xsi:type="dcterms:W3CDTF">2026-03-11T14:58:56Z</dcterms:modified>
</cp:coreProperties>
</file>